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Z→ττ Yields" sheetId="2" r:id="rId5"/>
    <sheet name="Legend" sheetId="3" r:id="rId6"/>
  </sheets>
</workbook>
</file>

<file path=xl/sharedStrings.xml><?xml version="1.0" encoding="utf-8"?>
<sst xmlns="http://schemas.openxmlformats.org/spreadsheetml/2006/main" uniqueCount="67">
  <si>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</si>
  <si>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</si>
  <si>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</si>
  <si>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</si>
  <si>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Z→ττ Yields</t>
  </si>
  <si>
    <t>Table 1</t>
  </si>
  <si>
    <t>Z→ττ Analysis: Data vs MC Yields by Region</t>
  </si>
  <si>
    <t>Region</t>
  </si>
  <si>
    <t>Data</t>
  </si>
  <si>
    <t>Z bkg</t>
  </si>
  <si>
    <t>Z→ττ hadronic</t>
  </si>
  <si>
    <t>Z→ττ semi-lep</t>
  </si>
  <si>
    <t>Z→ττ leptonic</t>
  </si>
  <si>
    <t>Other</t>
  </si>
  <si>
    <t>Total MC</t>
  </si>
  <si>
    <t>Data/MC</t>
  </si>
  <si>
    <t>Z→qq</t>
  </si>
  <si>
    <t>Z→ℓℓ</t>
  </si>
  <si>
    <t>ππ</t>
  </si>
  <si>
    <t>πρ</t>
  </si>
  <si>
    <t>ρπ</t>
  </si>
  <si>
    <t>ρρ</t>
  </si>
  <si>
    <t>πe</t>
  </si>
  <si>
    <t>eπ</t>
  </si>
  <si>
    <t>πμ</t>
  </si>
  <si>
    <t>μπ</t>
  </si>
  <si>
    <t>ρe</t>
  </si>
  <si>
    <t>eρ</t>
  </si>
  <si>
    <t>ρμ</t>
  </si>
  <si>
    <t>μρ</t>
  </si>
  <si>
    <t>ee</t>
  </si>
  <si>
    <t>μμ</t>
  </si>
  <si>
    <t>eμ</t>
  </si>
  <si>
    <t>μe</t>
  </si>
  <si>
    <t>Other bkg</t>
  </si>
  <si>
    <t>zee</t>
  </si>
  <si>
    <t>zmumu</t>
  </si>
  <si>
    <t>mumu</t>
  </si>
  <si>
    <t>mue</t>
  </si>
  <si>
    <t>emu</t>
  </si>
  <si>
    <t>pipi</t>
  </si>
  <si>
    <t>pirho</t>
  </si>
  <si>
    <t>rhopi</t>
  </si>
  <si>
    <t>pi_el</t>
  </si>
  <si>
    <t>el_pi</t>
  </si>
  <si>
    <t>pi_mu</t>
  </si>
  <si>
    <t>mu_pi</t>
  </si>
  <si>
    <t>rho_el</t>
  </si>
  <si>
    <t>el_rho</t>
  </si>
  <si>
    <t>rho_mu</t>
  </si>
  <si>
    <t>mu_rho</t>
  </si>
  <si>
    <t>baseline</t>
  </si>
  <si>
    <t>Legend</t>
  </si>
  <si>
    <t>Column groups</t>
  </si>
  <si>
    <t>Z→qq and Z→ℓℓ background processes</t>
  </si>
  <si>
    <t>Both taus decay hadronically (π or ρ)</t>
  </si>
  <si>
    <t>One hadronic + one leptonic tau decay</t>
  </si>
  <si>
    <t>Both taus decay leptonically</t>
  </si>
  <si>
    <t>Sum of remaining backgrounds</t>
  </si>
  <si>
    <t>Highlighting</t>
  </si>
  <si>
    <t>Yellow cells</t>
  </si>
  <si>
    <t>Diagonal: the MC component matching the region name (the 'signal' for that region)</t>
  </si>
  <si>
    <t>Red→Green scale on Data/MC</t>
  </si>
  <si>
    <t>Red &lt; 1.00 (MC over-predicts) → Green &gt; 1.00 (MC under-predicts)</t>
  </si>
  <si>
    <t>Notes</t>
  </si>
  <si>
    <t>Computed as SUM of all background + Z→ττ component columns</t>
  </si>
  <si>
    <t>Data divided by Total MC; values near 1.0 indicate good MC modelling</t>
  </si>
</sst>
</file>

<file path=xl/styles.xml><?xml version="1.0" encoding="utf-8"?>
<styleSheet xmlns="http://schemas.openxmlformats.org/spreadsheetml/2006/main">
  <numFmts count="3">
    <numFmt numFmtId="0" formatCode="General"/>
    <numFmt numFmtId="59" formatCode="0.00;&quot;-&quot;0.00;&quot;-&quot;"/>
    <numFmt numFmtId="60" formatCode="0.000"/>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4"/>
      <color indexed="8"/>
      <name val="Arial"/>
    </font>
    <font>
      <sz val="11"/>
      <color indexed="12"/>
      <name val="Arial"/>
    </font>
    <font>
      <sz val="10"/>
      <color indexed="8"/>
      <name val="Arial"/>
    </font>
    <font>
      <sz val="11"/>
      <color indexed="8"/>
      <name val="Arial"/>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1" fontId="6" fillId="4" borderId="1" applyNumberFormat="1" applyFont="1" applyFill="1" applyBorder="1" applyAlignment="1" applyProtection="0">
      <alignment vertical="bottom"/>
    </xf>
    <xf numFmtId="1" fontId="6" borderId="1" applyNumberFormat="1" applyFont="1" applyFill="0" applyBorder="1" applyAlignment="1" applyProtection="0">
      <alignment vertical="bottom"/>
    </xf>
    <xf numFmtId="0" fontId="0" fillId="4" borderId="2" applyNumberFormat="0" applyFont="1" applyFill="1" applyBorder="1" applyAlignment="1" applyProtection="0">
      <alignment vertical="bottom"/>
    </xf>
    <xf numFmtId="0" fontId="0" borderId="1" applyNumberFormat="0" applyFont="1" applyFill="0" applyBorder="1" applyAlignment="1" applyProtection="0">
      <alignment vertical="bottom"/>
    </xf>
    <xf numFmtId="49" fontId="7" fillId="5" borderId="3" applyNumberFormat="1" applyFont="1" applyFill="1" applyBorder="1" applyAlignment="1" applyProtection="0">
      <alignment horizontal="center" vertical="center"/>
    </xf>
    <xf numFmtId="49" fontId="7" fillId="6" borderId="3" applyNumberFormat="1" applyFont="1" applyFill="1" applyBorder="1" applyAlignment="1" applyProtection="0">
      <alignment horizontal="center" vertical="center"/>
    </xf>
    <xf numFmtId="1" fontId="7" fillId="6" borderId="3" applyNumberFormat="1" applyFont="1" applyFill="1" applyBorder="1" applyAlignment="1" applyProtection="0">
      <alignment horizontal="center" vertical="center"/>
    </xf>
    <xf numFmtId="49" fontId="7" fillId="7" borderId="3" applyNumberFormat="1" applyFont="1" applyFill="1" applyBorder="1" applyAlignment="1" applyProtection="0">
      <alignment horizontal="center" vertical="center"/>
    </xf>
    <xf numFmtId="1" fontId="7" fillId="7" borderId="3" applyNumberFormat="1" applyFont="1" applyFill="1" applyBorder="1" applyAlignment="1" applyProtection="0">
      <alignment horizontal="center" vertical="center"/>
    </xf>
    <xf numFmtId="49" fontId="7" fillId="8" borderId="3" applyNumberFormat="1" applyFont="1" applyFill="1" applyBorder="1" applyAlignment="1" applyProtection="0">
      <alignment horizontal="center" vertical="center"/>
    </xf>
    <xf numFmtId="1" fontId="7" fillId="8" borderId="3" applyNumberFormat="1" applyFont="1" applyFill="1" applyBorder="1" applyAlignment="1" applyProtection="0">
      <alignment horizontal="center" vertical="center"/>
    </xf>
    <xf numFmtId="49" fontId="7" fillId="9" borderId="3" applyNumberFormat="1" applyFont="1" applyFill="1" applyBorder="1" applyAlignment="1" applyProtection="0">
      <alignment horizontal="center" vertical="center"/>
    </xf>
    <xf numFmtId="1" fontId="7" fillId="9" borderId="3" applyNumberFormat="1" applyFont="1" applyFill="1" applyBorder="1" applyAlignment="1" applyProtection="0">
      <alignment horizontal="center" vertical="center"/>
    </xf>
    <xf numFmtId="49" fontId="7" fillId="10" borderId="3" applyNumberFormat="1" applyFont="1" applyFill="1" applyBorder="1" applyAlignment="1" applyProtection="0">
      <alignment horizontal="center" vertical="center"/>
    </xf>
    <xf numFmtId="0" fontId="0" borderId="4" applyNumberFormat="0" applyFont="1" applyFill="0" applyBorder="1" applyAlignment="1" applyProtection="0">
      <alignment vertical="bottom"/>
    </xf>
    <xf numFmtId="1" fontId="7" fillId="5" borderId="3" applyNumberFormat="1" applyFont="1" applyFill="1" applyBorder="1" applyAlignment="1" applyProtection="0">
      <alignment horizontal="center" vertical="center"/>
    </xf>
    <xf numFmtId="49" fontId="8" fillId="4" borderId="3" applyNumberFormat="1" applyFont="1" applyFill="1" applyBorder="1" applyAlignment="1" applyProtection="0">
      <alignment horizontal="left" vertical="center"/>
    </xf>
    <xf numFmtId="3" fontId="8" fillId="4" borderId="3" applyNumberFormat="1" applyFont="1" applyFill="1" applyBorder="1" applyAlignment="1" applyProtection="0">
      <alignment horizontal="center" vertical="center"/>
    </xf>
    <xf numFmtId="59" fontId="8" fillId="4" borderId="3" applyNumberFormat="1" applyFont="1" applyFill="1" applyBorder="1" applyAlignment="1" applyProtection="0">
      <alignment horizontal="center" vertical="center"/>
    </xf>
    <xf numFmtId="4" fontId="8" fillId="11" borderId="3" applyNumberFormat="1" applyFont="1" applyFill="1" applyBorder="1" applyAlignment="1" applyProtection="0">
      <alignment horizontal="center" vertical="center"/>
    </xf>
    <xf numFmtId="60" fontId="8" fillId="4" borderId="3" applyNumberFormat="1" applyFont="1" applyFill="1" applyBorder="1" applyAlignment="1" applyProtection="0">
      <alignment horizontal="center" vertical="center"/>
    </xf>
    <xf numFmtId="59" fontId="8" fillId="12" borderId="3" applyNumberFormat="1" applyFont="1" applyFill="1" applyBorder="1" applyAlignment="1" applyProtection="0">
      <alignment horizontal="center" vertical="center"/>
    </xf>
    <xf numFmtId="49" fontId="8" fillId="11" borderId="3"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9" fillId="4" borderId="1" applyNumberFormat="1" applyFont="1" applyFill="1" applyBorder="1" applyAlignment="1" applyProtection="0">
      <alignment vertical="bottom"/>
    </xf>
    <xf numFmtId="1" fontId="9" fillId="4" borderId="1" applyNumberFormat="1" applyFont="1" applyFill="1" applyBorder="1" applyAlignment="1" applyProtection="0">
      <alignment vertical="top" wrapText="1"/>
    </xf>
    <xf numFmtId="49" fontId="9" fillId="4" borderId="1" applyNumberFormat="1" applyFont="1" applyFill="1" applyBorder="1" applyAlignment="1" applyProtection="0">
      <alignment vertical="top" wrapText="1"/>
    </xf>
    <xf numFmtId="1" fontId="9" fillId="4"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bfbfbf"/>
      <rgbColor rgb="ff305496"/>
      <rgbColor rgb="ff8faadc"/>
      <rgbColor rgb="ffa9d08e"/>
      <rgbColor rgb="ffffd966"/>
      <rgbColor rgb="fff4b084"/>
      <rgbColor rgb="ffd9d9d9"/>
      <rgbColor rgb="ffe7e6e6"/>
      <rgbColor rgb="ffffff9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52</v>
      </c>
      <c r="C11" s="3"/>
      <c r="D11" s="3"/>
    </row>
    <row r="12">
      <c r="B12" s="4"/>
      <c r="C12" t="s" s="4">
        <v>5</v>
      </c>
      <c r="D12" t="s" s="5">
        <v>52</v>
      </c>
    </row>
  </sheetData>
  <mergeCells count="1">
    <mergeCell ref="B3:D3"/>
  </mergeCells>
  <hyperlinks>
    <hyperlink ref="D10" location="'Z→ττ Yields'!R1C1" tooltip="" display="Z→ττ Yields"/>
    <hyperlink ref="D12" location="'Legend'!R1C1" tooltip="" display="Legend"/>
  </hyperlinks>
</worksheet>
</file>

<file path=xl/worksheets/sheet2.xml><?xml version="1.0" encoding="utf-8"?>
<worksheet xmlns:r="http://schemas.openxmlformats.org/officeDocument/2006/relationships" xmlns="http://schemas.openxmlformats.org/spreadsheetml/2006/main">
  <dimension ref="A1:Z22"/>
  <sheetViews>
    <sheetView workbookViewId="0" showGridLines="0" defaultGridColor="1"/>
  </sheetViews>
  <sheetFormatPr defaultColWidth="8.66667" defaultRowHeight="15" customHeight="1" outlineLevelRow="0" outlineLevelCol="0"/>
  <cols>
    <col min="1" max="1" width="12" style="6" customWidth="1"/>
    <col min="2" max="2" width="11" style="6" customWidth="1"/>
    <col min="3" max="21" width="9" style="6" customWidth="1"/>
    <col min="22" max="22" width="12" style="6" customWidth="1"/>
    <col min="23" max="23" width="9" style="6" customWidth="1"/>
    <col min="24" max="26" width="8.67188" style="6" customWidth="1"/>
    <col min="27" max="16384" width="8.67188" style="6" customWidth="1"/>
  </cols>
  <sheetData>
    <row r="1" ht="18.5" customHeight="1">
      <c r="A1" t="s" s="7">
        <v>6</v>
      </c>
      <c r="B1" s="8"/>
      <c r="C1" s="8"/>
      <c r="D1" s="8"/>
      <c r="E1" s="8"/>
      <c r="F1" s="8"/>
      <c r="G1" s="8"/>
      <c r="H1" s="8"/>
      <c r="I1" s="8"/>
      <c r="J1" s="8"/>
      <c r="K1" s="8"/>
      <c r="L1" s="8"/>
      <c r="M1" s="8"/>
      <c r="N1" s="8"/>
      <c r="O1" s="8"/>
      <c r="P1" s="8"/>
      <c r="Q1" s="8"/>
      <c r="R1" s="8"/>
      <c r="S1" s="8"/>
      <c r="T1" s="8"/>
      <c r="U1" s="8"/>
      <c r="V1" s="8"/>
      <c r="W1" s="8"/>
      <c r="X1" s="9"/>
      <c r="Y1" s="9"/>
      <c r="Z1" s="9"/>
    </row>
    <row r="2" ht="13.55" customHeight="1">
      <c r="A2" s="10"/>
      <c r="B2" s="10"/>
      <c r="C2" s="10"/>
      <c r="D2" s="10"/>
      <c r="E2" s="10"/>
      <c r="F2" s="10"/>
      <c r="G2" s="10"/>
      <c r="H2" s="10"/>
      <c r="I2" s="10"/>
      <c r="J2" s="10"/>
      <c r="K2" s="10"/>
      <c r="L2" s="10"/>
      <c r="M2" s="10"/>
      <c r="N2" s="10"/>
      <c r="O2" s="10"/>
      <c r="P2" s="10"/>
      <c r="Q2" s="10"/>
      <c r="R2" s="10"/>
      <c r="S2" s="10"/>
      <c r="T2" s="10"/>
      <c r="U2" s="10"/>
      <c r="V2" s="10"/>
      <c r="W2" s="10"/>
      <c r="X2" s="11"/>
      <c r="Y2" s="11"/>
      <c r="Z2" s="11"/>
    </row>
    <row r="3" ht="14.6" customHeight="1">
      <c r="A3" t="s" s="12">
        <v>7</v>
      </c>
      <c r="B3" t="s" s="12">
        <v>8</v>
      </c>
      <c r="C3" t="s" s="13">
        <v>9</v>
      </c>
      <c r="D3" s="14"/>
      <c r="E3" t="s" s="15">
        <v>10</v>
      </c>
      <c r="F3" s="16"/>
      <c r="G3" s="16"/>
      <c r="H3" s="16"/>
      <c r="I3" t="s" s="17">
        <v>11</v>
      </c>
      <c r="J3" s="18"/>
      <c r="K3" s="18"/>
      <c r="L3" s="18"/>
      <c r="M3" s="18"/>
      <c r="N3" s="18"/>
      <c r="O3" s="18"/>
      <c r="P3" s="18"/>
      <c r="Q3" t="s" s="19">
        <v>12</v>
      </c>
      <c r="R3" s="20"/>
      <c r="S3" s="20"/>
      <c r="T3" s="20"/>
      <c r="U3" t="s" s="21">
        <v>13</v>
      </c>
      <c r="V3" t="s" s="12">
        <v>14</v>
      </c>
      <c r="W3" t="s" s="12">
        <v>15</v>
      </c>
      <c r="X3" s="22"/>
      <c r="Y3" s="11"/>
      <c r="Z3" s="11"/>
    </row>
    <row r="4" ht="14.6" customHeight="1">
      <c r="A4" s="23"/>
      <c r="B4" s="23"/>
      <c r="C4" t="s" s="12">
        <v>16</v>
      </c>
      <c r="D4" t="s" s="12">
        <v>17</v>
      </c>
      <c r="E4" t="s" s="12">
        <v>18</v>
      </c>
      <c r="F4" t="s" s="12">
        <v>19</v>
      </c>
      <c r="G4" t="s" s="12">
        <v>20</v>
      </c>
      <c r="H4" t="s" s="12">
        <v>21</v>
      </c>
      <c r="I4" t="s" s="12">
        <v>22</v>
      </c>
      <c r="J4" t="s" s="12">
        <v>23</v>
      </c>
      <c r="K4" t="s" s="12">
        <v>24</v>
      </c>
      <c r="L4" t="s" s="12">
        <v>25</v>
      </c>
      <c r="M4" t="s" s="12">
        <v>26</v>
      </c>
      <c r="N4" t="s" s="12">
        <v>27</v>
      </c>
      <c r="O4" t="s" s="12">
        <v>28</v>
      </c>
      <c r="P4" t="s" s="12">
        <v>29</v>
      </c>
      <c r="Q4" t="s" s="12">
        <v>30</v>
      </c>
      <c r="R4" t="s" s="12">
        <v>31</v>
      </c>
      <c r="S4" t="s" s="12">
        <v>32</v>
      </c>
      <c r="T4" t="s" s="12">
        <v>33</v>
      </c>
      <c r="U4" t="s" s="12">
        <v>34</v>
      </c>
      <c r="V4" s="23"/>
      <c r="W4" s="23"/>
      <c r="X4" s="22"/>
      <c r="Y4" s="11"/>
      <c r="Z4" s="11"/>
    </row>
    <row r="5" ht="13.65" customHeight="1">
      <c r="A5" t="s" s="24">
        <v>35</v>
      </c>
      <c r="B5" s="25">
        <v>7094</v>
      </c>
      <c r="C5" s="26">
        <v>0</v>
      </c>
      <c r="D5" s="26">
        <v>7567.5402</v>
      </c>
      <c r="E5" s="26">
        <v>0</v>
      </c>
      <c r="F5" s="26">
        <v>0</v>
      </c>
      <c r="G5" s="26">
        <v>0</v>
      </c>
      <c r="H5" s="26">
        <v>0</v>
      </c>
      <c r="I5" s="26">
        <v>0</v>
      </c>
      <c r="J5" s="26">
        <v>0.0294</v>
      </c>
      <c r="K5" s="26">
        <v>0</v>
      </c>
      <c r="L5" s="26">
        <v>0</v>
      </c>
      <c r="M5" s="26">
        <v>0</v>
      </c>
      <c r="N5" s="26">
        <v>0</v>
      </c>
      <c r="O5" s="26">
        <v>0</v>
      </c>
      <c r="P5" s="26">
        <v>0</v>
      </c>
      <c r="Q5" s="26">
        <v>0.2355</v>
      </c>
      <c r="R5" s="26">
        <v>0</v>
      </c>
      <c r="S5" s="26">
        <v>0</v>
      </c>
      <c r="T5" s="26">
        <v>0</v>
      </c>
      <c r="U5" s="26">
        <v>0</v>
      </c>
      <c r="V5" s="27">
        <f>SUM(C5:U5)</f>
        <v>7567.8051</v>
      </c>
      <c r="W5" s="28">
        <f>_xlfn.IFERROR(B5/V5,"-")</f>
        <v>0.93739200551029</v>
      </c>
      <c r="X5" s="22"/>
      <c r="Y5" s="11"/>
      <c r="Z5" s="11"/>
    </row>
    <row r="6" ht="13.65" customHeight="1">
      <c r="A6" t="s" s="24">
        <v>36</v>
      </c>
      <c r="B6" s="25">
        <v>27840</v>
      </c>
      <c r="C6" s="26">
        <v>0</v>
      </c>
      <c r="D6" s="26">
        <v>28405.7052</v>
      </c>
      <c r="E6" s="26">
        <v>0</v>
      </c>
      <c r="F6" s="26">
        <v>0</v>
      </c>
      <c r="G6" s="26">
        <v>0</v>
      </c>
      <c r="H6" s="26">
        <v>0</v>
      </c>
      <c r="I6" s="26">
        <v>0</v>
      </c>
      <c r="J6" s="26">
        <v>0</v>
      </c>
      <c r="K6" s="26">
        <v>0.0589</v>
      </c>
      <c r="L6" s="26">
        <v>0.0589</v>
      </c>
      <c r="M6" s="26">
        <v>0</v>
      </c>
      <c r="N6" s="26">
        <v>0</v>
      </c>
      <c r="O6" s="26">
        <v>0</v>
      </c>
      <c r="P6" s="26">
        <v>0</v>
      </c>
      <c r="Q6" s="26">
        <v>0</v>
      </c>
      <c r="R6" s="26">
        <v>0.7947</v>
      </c>
      <c r="S6" s="26">
        <v>0</v>
      </c>
      <c r="T6" s="26">
        <v>0</v>
      </c>
      <c r="U6" s="26">
        <v>0</v>
      </c>
      <c r="V6" s="27">
        <f>SUM(C6:U6)</f>
        <v>28406.6177</v>
      </c>
      <c r="W6" s="28">
        <f>_xlfn.IFERROR(B6/V6,"-")</f>
        <v>0.980053320462717</v>
      </c>
      <c r="X6" s="22"/>
      <c r="Y6" s="11"/>
      <c r="Z6" s="11"/>
    </row>
    <row r="7" ht="13.65" customHeight="1">
      <c r="A7" t="s" s="24">
        <v>30</v>
      </c>
      <c r="B7" s="25">
        <v>313</v>
      </c>
      <c r="C7" s="26">
        <v>0</v>
      </c>
      <c r="D7" s="26">
        <v>25.8227</v>
      </c>
      <c r="E7" s="26">
        <v>0</v>
      </c>
      <c r="F7" s="26">
        <v>0</v>
      </c>
      <c r="G7" s="26">
        <v>0</v>
      </c>
      <c r="H7" s="26">
        <v>0</v>
      </c>
      <c r="I7" s="26">
        <v>1.2657</v>
      </c>
      <c r="J7" s="26">
        <v>0.7064</v>
      </c>
      <c r="K7" s="26">
        <v>0</v>
      </c>
      <c r="L7" s="26">
        <v>0</v>
      </c>
      <c r="M7" s="26">
        <v>0.5298</v>
      </c>
      <c r="N7" s="26">
        <v>0.5298</v>
      </c>
      <c r="O7" s="26">
        <v>0</v>
      </c>
      <c r="P7" s="26">
        <v>0</v>
      </c>
      <c r="Q7" s="29">
        <v>250.6339</v>
      </c>
      <c r="R7" s="26">
        <v>0</v>
      </c>
      <c r="S7" s="26">
        <v>0</v>
      </c>
      <c r="T7" s="26">
        <v>0.0294</v>
      </c>
      <c r="U7" s="26">
        <v>0.5887</v>
      </c>
      <c r="V7" s="27">
        <f>SUM(C7:U7)</f>
        <v>280.1064</v>
      </c>
      <c r="W7" s="28">
        <f>_xlfn.IFERROR(B7/V7,"-")</f>
        <v>1.11743251850011</v>
      </c>
      <c r="X7" s="22"/>
      <c r="Y7" s="11"/>
      <c r="Z7" s="11"/>
    </row>
    <row r="8" ht="13.65" customHeight="1">
      <c r="A8" t="s" s="24">
        <v>37</v>
      </c>
      <c r="B8" s="25">
        <v>670</v>
      </c>
      <c r="C8" s="26">
        <v>0</v>
      </c>
      <c r="D8" s="26">
        <v>58.5314</v>
      </c>
      <c r="E8" s="26">
        <v>0</v>
      </c>
      <c r="F8" s="26">
        <v>0</v>
      </c>
      <c r="G8" s="26">
        <v>0</v>
      </c>
      <c r="H8" s="26">
        <v>0</v>
      </c>
      <c r="I8" s="26">
        <v>0</v>
      </c>
      <c r="J8" s="26">
        <v>0</v>
      </c>
      <c r="K8" s="26">
        <v>1.5895</v>
      </c>
      <c r="L8" s="26">
        <v>2.9729</v>
      </c>
      <c r="M8" s="26">
        <v>0</v>
      </c>
      <c r="N8" s="26">
        <v>0</v>
      </c>
      <c r="O8" s="26">
        <v>1.1479</v>
      </c>
      <c r="P8" s="26">
        <v>1.0008</v>
      </c>
      <c r="Q8" s="26">
        <v>0</v>
      </c>
      <c r="R8" s="29">
        <v>557.8703</v>
      </c>
      <c r="S8" s="26">
        <v>0</v>
      </c>
      <c r="T8" s="26">
        <v>0</v>
      </c>
      <c r="U8" s="26">
        <v>2.4725</v>
      </c>
      <c r="V8" s="27">
        <f>SUM(C8:U8)</f>
        <v>625.5853</v>
      </c>
      <c r="W8" s="28">
        <f>_xlfn.IFERROR(B8/V8,"-")</f>
        <v>1.07099703269882</v>
      </c>
      <c r="X8" s="22"/>
      <c r="Y8" s="11"/>
      <c r="Z8" s="11"/>
    </row>
    <row r="9" ht="13.65" customHeight="1">
      <c r="A9" t="s" s="24">
        <v>38</v>
      </c>
      <c r="B9" s="25">
        <v>203</v>
      </c>
      <c r="C9" s="26">
        <v>0</v>
      </c>
      <c r="D9" s="26">
        <v>0</v>
      </c>
      <c r="E9" s="26">
        <v>0</v>
      </c>
      <c r="F9" s="26">
        <v>0</v>
      </c>
      <c r="G9" s="26">
        <v>0</v>
      </c>
      <c r="H9" s="26">
        <v>0</v>
      </c>
      <c r="I9" s="26">
        <v>0.6476</v>
      </c>
      <c r="J9" s="26">
        <v>0</v>
      </c>
      <c r="K9" s="26">
        <v>0</v>
      </c>
      <c r="L9" s="26">
        <v>1.0008</v>
      </c>
      <c r="M9" s="26">
        <v>0.2355</v>
      </c>
      <c r="N9" s="26">
        <v>0</v>
      </c>
      <c r="O9" s="26">
        <v>0</v>
      </c>
      <c r="P9" s="26">
        <v>0.1177</v>
      </c>
      <c r="Q9" s="26">
        <v>0</v>
      </c>
      <c r="R9" s="26">
        <v>0</v>
      </c>
      <c r="S9" s="29">
        <v>0</v>
      </c>
      <c r="T9" s="26">
        <v>200.3894</v>
      </c>
      <c r="U9" s="26">
        <v>1.0302</v>
      </c>
      <c r="V9" s="27">
        <f>SUM(C9:U9)</f>
        <v>203.4212</v>
      </c>
      <c r="W9" s="28">
        <f>_xlfn.IFERROR(B9/V9,"-")</f>
        <v>0.997929419352555</v>
      </c>
      <c r="X9" s="22"/>
      <c r="Y9" s="11"/>
      <c r="Z9" s="11"/>
    </row>
    <row r="10" ht="13.65" customHeight="1">
      <c r="A10" t="s" s="24">
        <v>39</v>
      </c>
      <c r="B10" s="25">
        <v>202</v>
      </c>
      <c r="C10" s="26">
        <v>0</v>
      </c>
      <c r="D10" s="26">
        <v>0</v>
      </c>
      <c r="E10" s="26">
        <v>0</v>
      </c>
      <c r="F10" s="26">
        <v>0</v>
      </c>
      <c r="G10" s="26">
        <v>0</v>
      </c>
      <c r="H10" s="26">
        <v>0</v>
      </c>
      <c r="I10" s="26">
        <v>0</v>
      </c>
      <c r="J10" s="26">
        <v>0.5887</v>
      </c>
      <c r="K10" s="26">
        <v>0.9419</v>
      </c>
      <c r="L10" s="26">
        <v>0</v>
      </c>
      <c r="M10" s="26">
        <v>0</v>
      </c>
      <c r="N10" s="26">
        <v>0.4121</v>
      </c>
      <c r="O10" s="26">
        <v>0.5593</v>
      </c>
      <c r="P10" s="26">
        <v>0</v>
      </c>
      <c r="Q10" s="26">
        <v>0</v>
      </c>
      <c r="R10" s="26">
        <v>0</v>
      </c>
      <c r="S10" s="26">
        <v>176.8125</v>
      </c>
      <c r="T10" s="29">
        <v>0</v>
      </c>
      <c r="U10" s="26">
        <v>0.5004</v>
      </c>
      <c r="V10" s="27">
        <f>SUM(C10:U10)</f>
        <v>179.8149</v>
      </c>
      <c r="W10" s="28">
        <f>_xlfn.IFERROR(B10/V10,"-")</f>
        <v>1.12337742867805</v>
      </c>
      <c r="X10" s="22"/>
      <c r="Y10" s="11"/>
      <c r="Z10" s="11"/>
    </row>
    <row r="11" ht="13.65" customHeight="1">
      <c r="A11" t="s" s="24">
        <v>40</v>
      </c>
      <c r="B11" s="25">
        <v>1028</v>
      </c>
      <c r="C11" s="26">
        <v>0</v>
      </c>
      <c r="D11" s="26">
        <v>4.4759</v>
      </c>
      <c r="E11" s="29">
        <v>186.4375</v>
      </c>
      <c r="F11" s="26">
        <v>89.00960000000001</v>
      </c>
      <c r="G11" s="26">
        <v>87.5968</v>
      </c>
      <c r="H11" s="26">
        <v>41.2082</v>
      </c>
      <c r="I11" s="26">
        <v>39.8247</v>
      </c>
      <c r="J11" s="26">
        <v>35.91</v>
      </c>
      <c r="K11" s="26">
        <v>78.26609999999999</v>
      </c>
      <c r="L11" s="26">
        <v>73.2034</v>
      </c>
      <c r="M11" s="26">
        <v>14.8349</v>
      </c>
      <c r="N11" s="26">
        <v>15.6002</v>
      </c>
      <c r="O11" s="26">
        <v>28.9046</v>
      </c>
      <c r="P11" s="26">
        <v>28.9046</v>
      </c>
      <c r="Q11" s="26">
        <v>5.8869</v>
      </c>
      <c r="R11" s="26">
        <v>56.1314</v>
      </c>
      <c r="S11" s="26">
        <v>11.5972</v>
      </c>
      <c r="T11" s="26">
        <v>11.4205</v>
      </c>
      <c r="U11" s="26">
        <v>189.4398</v>
      </c>
      <c r="V11" s="27">
        <f>SUM(C11:U11)</f>
        <v>998.6523</v>
      </c>
      <c r="W11" s="28">
        <f>_xlfn.IFERROR(B11/V11,"-")</f>
        <v>1.02938730527131</v>
      </c>
      <c r="X11" s="22"/>
      <c r="Y11" s="11"/>
      <c r="Z11" s="11"/>
    </row>
    <row r="12" ht="13.65" customHeight="1">
      <c r="A12" t="s" s="24">
        <v>41</v>
      </c>
      <c r="B12" s="25">
        <v>829</v>
      </c>
      <c r="C12" s="26">
        <v>0</v>
      </c>
      <c r="D12" s="26">
        <v>0.9755</v>
      </c>
      <c r="E12" s="26">
        <v>5.2688</v>
      </c>
      <c r="F12" s="29">
        <v>312.8583</v>
      </c>
      <c r="G12" s="26">
        <v>2.9434</v>
      </c>
      <c r="H12" s="26">
        <v>123.6539</v>
      </c>
      <c r="I12" s="26">
        <v>2.8257</v>
      </c>
      <c r="J12" s="26">
        <v>1.354</v>
      </c>
      <c r="K12" s="26">
        <v>0.4121</v>
      </c>
      <c r="L12" s="26">
        <v>2.8846</v>
      </c>
      <c r="M12" s="26">
        <v>1.0891</v>
      </c>
      <c r="N12" s="26">
        <v>49.5087</v>
      </c>
      <c r="O12" s="26">
        <v>0.1177</v>
      </c>
      <c r="P12" s="26">
        <v>103.5502</v>
      </c>
      <c r="Q12" s="26">
        <v>0.2649</v>
      </c>
      <c r="R12" s="26">
        <v>0.206</v>
      </c>
      <c r="S12" s="26">
        <v>0</v>
      </c>
      <c r="T12" s="26">
        <v>0.9419</v>
      </c>
      <c r="U12" s="26">
        <v>250.8694</v>
      </c>
      <c r="V12" s="27">
        <f>SUM(C12:U12)</f>
        <v>859.7242</v>
      </c>
      <c r="W12" s="28">
        <f>_xlfn.IFERROR(B12/V12,"-")</f>
        <v>0.964262725185589</v>
      </c>
      <c r="X12" s="22"/>
      <c r="Y12" s="11"/>
      <c r="Z12" s="11"/>
    </row>
    <row r="13" ht="13.65" customHeight="1">
      <c r="A13" t="s" s="24">
        <v>42</v>
      </c>
      <c r="B13" s="25">
        <v>843</v>
      </c>
      <c r="C13" s="26">
        <v>0</v>
      </c>
      <c r="D13" s="26">
        <v>1.3772</v>
      </c>
      <c r="E13" s="26">
        <v>4.7978</v>
      </c>
      <c r="F13" s="26">
        <v>2.5019</v>
      </c>
      <c r="G13" s="29">
        <v>308.9435</v>
      </c>
      <c r="H13" s="26">
        <v>117.2667</v>
      </c>
      <c r="I13" s="26">
        <v>0.8536</v>
      </c>
      <c r="J13" s="26">
        <v>2.3253</v>
      </c>
      <c r="K13" s="26">
        <v>2.6785</v>
      </c>
      <c r="L13" s="26">
        <v>0.3532</v>
      </c>
      <c r="M13" s="26">
        <v>52.4227</v>
      </c>
      <c r="N13" s="26">
        <v>1.0891</v>
      </c>
      <c r="O13" s="26">
        <v>104.1684</v>
      </c>
      <c r="P13" s="26">
        <v>0.3238</v>
      </c>
      <c r="Q13" s="26">
        <v>0.206</v>
      </c>
      <c r="R13" s="26">
        <v>0.3532</v>
      </c>
      <c r="S13" s="26">
        <v>0.8536</v>
      </c>
      <c r="T13" s="26">
        <v>0.0294</v>
      </c>
      <c r="U13" s="26">
        <v>240.5379</v>
      </c>
      <c r="V13" s="27">
        <f>SUM(C13:U13)</f>
        <v>841.0818</v>
      </c>
      <c r="W13" s="28">
        <f>_xlfn.IFERROR(B13/V13,"-")</f>
        <v>1.0022806342974</v>
      </c>
      <c r="X13" s="22"/>
      <c r="Y13" s="11"/>
      <c r="Z13" s="11"/>
    </row>
    <row r="14" ht="13.65" customHeight="1">
      <c r="A14" t="s" s="24">
        <v>43</v>
      </c>
      <c r="B14" s="25">
        <v>555</v>
      </c>
      <c r="C14" s="26">
        <v>0</v>
      </c>
      <c r="D14" s="26">
        <v>17.6742</v>
      </c>
      <c r="E14" s="26">
        <v>0.677</v>
      </c>
      <c r="F14" s="26">
        <v>0.2943</v>
      </c>
      <c r="G14" s="26">
        <v>0.2355</v>
      </c>
      <c r="H14" s="26">
        <v>0.0589</v>
      </c>
      <c r="I14" s="29">
        <v>140.6376</v>
      </c>
      <c r="J14" s="26">
        <v>0.1472</v>
      </c>
      <c r="K14" s="26">
        <v>0</v>
      </c>
      <c r="L14" s="26">
        <v>1.5895</v>
      </c>
      <c r="M14" s="26">
        <v>56.1314</v>
      </c>
      <c r="N14" s="26">
        <v>0.0883</v>
      </c>
      <c r="O14" s="26">
        <v>0</v>
      </c>
      <c r="P14" s="26">
        <v>0.2649</v>
      </c>
      <c r="Q14" s="26">
        <v>67.87569999999999</v>
      </c>
      <c r="R14" s="26">
        <v>0</v>
      </c>
      <c r="S14" s="26">
        <v>0</v>
      </c>
      <c r="T14" s="26">
        <v>285.3665</v>
      </c>
      <c r="U14" s="26">
        <v>27.1385</v>
      </c>
      <c r="V14" s="27">
        <f>SUM(C14:U14)</f>
        <v>598.1795</v>
      </c>
      <c r="W14" s="28">
        <f>_xlfn.IFERROR(B14/V14,"-")</f>
        <v>0.927815145788179</v>
      </c>
      <c r="X14" s="22"/>
      <c r="Y14" s="11"/>
      <c r="Z14" s="11"/>
    </row>
    <row r="15" ht="13.65" customHeight="1">
      <c r="A15" t="s" s="24">
        <v>44</v>
      </c>
      <c r="B15" s="25">
        <v>567</v>
      </c>
      <c r="C15" s="26">
        <v>0</v>
      </c>
      <c r="D15" s="26">
        <v>17.502</v>
      </c>
      <c r="E15" s="26">
        <v>0.3532</v>
      </c>
      <c r="F15" s="26">
        <v>0.0589</v>
      </c>
      <c r="G15" s="26">
        <v>0.0883</v>
      </c>
      <c r="H15" s="26">
        <v>0.206</v>
      </c>
      <c r="I15" s="26">
        <v>0.2943</v>
      </c>
      <c r="J15" s="29">
        <v>120.475</v>
      </c>
      <c r="K15" s="26">
        <v>0.9713000000000001</v>
      </c>
      <c r="L15" s="26">
        <v>0</v>
      </c>
      <c r="M15" s="26">
        <v>0.0589</v>
      </c>
      <c r="N15" s="26">
        <v>50.8038</v>
      </c>
      <c r="O15" s="26">
        <v>0.4121</v>
      </c>
      <c r="P15" s="26">
        <v>0</v>
      </c>
      <c r="Q15" s="26">
        <v>71.4079</v>
      </c>
      <c r="R15" s="26">
        <v>0</v>
      </c>
      <c r="S15" s="26">
        <v>226.5566</v>
      </c>
      <c r="T15" s="26">
        <v>0</v>
      </c>
      <c r="U15" s="26">
        <v>24.7249</v>
      </c>
      <c r="V15" s="27">
        <f>SUM(C15:U15)</f>
        <v>513.9132</v>
      </c>
      <c r="W15" s="28">
        <f>_xlfn.IFERROR(B15/V15,"-")</f>
        <v>1.10329915635559</v>
      </c>
      <c r="X15" s="22"/>
      <c r="Y15" s="11"/>
      <c r="Z15" s="11"/>
    </row>
    <row r="16" ht="13.65" customHeight="1">
      <c r="A16" t="s" s="24">
        <v>45</v>
      </c>
      <c r="B16" s="25">
        <v>1231</v>
      </c>
      <c r="C16" s="26">
        <v>0</v>
      </c>
      <c r="D16" s="26">
        <v>72.3609</v>
      </c>
      <c r="E16" s="26">
        <v>0.3826</v>
      </c>
      <c r="F16" s="26">
        <v>0.3826</v>
      </c>
      <c r="G16" s="26">
        <v>0.0883</v>
      </c>
      <c r="H16" s="26">
        <v>0.1766</v>
      </c>
      <c r="I16" s="26">
        <v>0</v>
      </c>
      <c r="J16" s="26">
        <v>0.0883</v>
      </c>
      <c r="K16" s="29">
        <v>184.3182</v>
      </c>
      <c r="L16" s="26">
        <v>9.8605</v>
      </c>
      <c r="M16" s="26">
        <v>0</v>
      </c>
      <c r="N16" s="26">
        <v>0.1472</v>
      </c>
      <c r="O16" s="26">
        <v>81.79819999999999</v>
      </c>
      <c r="P16" s="26">
        <v>2.7374</v>
      </c>
      <c r="Q16" s="26">
        <v>0</v>
      </c>
      <c r="R16" s="26">
        <v>709.2808</v>
      </c>
      <c r="S16" s="26">
        <v>52.0106</v>
      </c>
      <c r="T16" s="26">
        <v>0.471</v>
      </c>
      <c r="U16" s="26">
        <v>40.2663</v>
      </c>
      <c r="V16" s="27">
        <f>SUM(C16:U16)</f>
        <v>1154.3695</v>
      </c>
      <c r="W16" s="28">
        <f>_xlfn.IFERROR(B16/V16,"-")</f>
        <v>1.0663829908881</v>
      </c>
      <c r="X16" s="22"/>
      <c r="Y16" s="11"/>
      <c r="Z16" s="11"/>
    </row>
    <row r="17" ht="13.65" customHeight="1">
      <c r="A17" t="s" s="24">
        <v>46</v>
      </c>
      <c r="B17" s="25">
        <v>1149</v>
      </c>
      <c r="C17" s="26">
        <v>0</v>
      </c>
      <c r="D17" s="26">
        <v>66.96680000000001</v>
      </c>
      <c r="E17" s="26">
        <v>0.3532</v>
      </c>
      <c r="F17" s="26">
        <v>0.2355</v>
      </c>
      <c r="G17" s="26">
        <v>0.3238</v>
      </c>
      <c r="H17" s="26">
        <v>0.0589</v>
      </c>
      <c r="I17" s="26">
        <v>0.0294</v>
      </c>
      <c r="J17" s="26">
        <v>0</v>
      </c>
      <c r="K17" s="26">
        <v>7.0054</v>
      </c>
      <c r="L17" s="29">
        <v>187.6149</v>
      </c>
      <c r="M17" s="26">
        <v>0.1177</v>
      </c>
      <c r="N17" s="26">
        <v>0</v>
      </c>
      <c r="O17" s="26">
        <v>2.9434</v>
      </c>
      <c r="P17" s="26">
        <v>80.20869999999999</v>
      </c>
      <c r="Q17" s="26">
        <v>0</v>
      </c>
      <c r="R17" s="26">
        <v>678.1686999999999</v>
      </c>
      <c r="S17" s="26">
        <v>0.6476</v>
      </c>
      <c r="T17" s="26">
        <v>71.9966</v>
      </c>
      <c r="U17" s="26">
        <v>43.4746</v>
      </c>
      <c r="V17" s="27">
        <f>SUM(C17:U17)</f>
        <v>1140.1452</v>
      </c>
      <c r="W17" s="28">
        <f>_xlfn.IFERROR(B17/V17,"-")</f>
        <v>1.00776637922959</v>
      </c>
      <c r="X17" s="22"/>
      <c r="Y17" s="11"/>
      <c r="Z17" s="11"/>
    </row>
    <row r="18" ht="13.65" customHeight="1">
      <c r="A18" t="s" s="24">
        <v>47</v>
      </c>
      <c r="B18" s="25">
        <v>252</v>
      </c>
      <c r="C18" s="26">
        <v>0</v>
      </c>
      <c r="D18" s="26">
        <v>1.3198</v>
      </c>
      <c r="E18" s="26">
        <v>0</v>
      </c>
      <c r="F18" s="26">
        <v>0</v>
      </c>
      <c r="G18" s="26">
        <v>1.2362</v>
      </c>
      <c r="H18" s="26">
        <v>0.206</v>
      </c>
      <c r="I18" s="26">
        <v>3.3261</v>
      </c>
      <c r="J18" s="26">
        <v>0</v>
      </c>
      <c r="K18" s="26">
        <v>0</v>
      </c>
      <c r="L18" s="26">
        <v>0</v>
      </c>
      <c r="M18" s="29">
        <v>198.2996</v>
      </c>
      <c r="N18" s="26">
        <v>0</v>
      </c>
      <c r="O18" s="26">
        <v>0</v>
      </c>
      <c r="P18" s="26">
        <v>0</v>
      </c>
      <c r="Q18" s="26">
        <v>1.7661</v>
      </c>
      <c r="R18" s="26">
        <v>0</v>
      </c>
      <c r="S18" s="26">
        <v>0</v>
      </c>
      <c r="T18" s="26">
        <v>1.7661</v>
      </c>
      <c r="U18" s="26">
        <v>51.3925</v>
      </c>
      <c r="V18" s="27">
        <f>SUM(C18:U18)</f>
        <v>259.3124</v>
      </c>
      <c r="W18" s="28">
        <f>_xlfn.IFERROR(B18/V18,"-")</f>
        <v>0.971800808599974</v>
      </c>
      <c r="X18" s="22"/>
      <c r="Y18" s="11"/>
      <c r="Z18" s="11"/>
    </row>
    <row r="19" ht="13.65" customHeight="1">
      <c r="A19" t="s" s="24">
        <v>48</v>
      </c>
      <c r="B19" s="25">
        <v>252</v>
      </c>
      <c r="C19" s="26">
        <v>0</v>
      </c>
      <c r="D19" s="26">
        <v>2.697</v>
      </c>
      <c r="E19" s="26">
        <v>0.1177</v>
      </c>
      <c r="F19" s="26">
        <v>0.7947</v>
      </c>
      <c r="G19" s="26">
        <v>0</v>
      </c>
      <c r="H19" s="26">
        <v>0.206</v>
      </c>
      <c r="I19" s="26">
        <v>0</v>
      </c>
      <c r="J19" s="26">
        <v>3.9736</v>
      </c>
      <c r="K19" s="26">
        <v>0</v>
      </c>
      <c r="L19" s="26">
        <v>0</v>
      </c>
      <c r="M19" s="26">
        <v>0</v>
      </c>
      <c r="N19" s="29">
        <v>173.4275</v>
      </c>
      <c r="O19" s="26">
        <v>0</v>
      </c>
      <c r="P19" s="26">
        <v>0</v>
      </c>
      <c r="Q19" s="26">
        <v>3.797</v>
      </c>
      <c r="R19" s="26">
        <v>0</v>
      </c>
      <c r="S19" s="26">
        <v>1.3245</v>
      </c>
      <c r="T19" s="26">
        <v>0</v>
      </c>
      <c r="U19" s="26">
        <v>48.0958</v>
      </c>
      <c r="V19" s="27">
        <f>SUM(C19:U19)</f>
        <v>234.4338</v>
      </c>
      <c r="W19" s="28">
        <f>_xlfn.IFERROR(B19/V19,"-")</f>
        <v>1.07493032148095</v>
      </c>
      <c r="X19" s="22"/>
      <c r="Y19" s="11"/>
      <c r="Z19" s="11"/>
    </row>
    <row r="20" ht="13.65" customHeight="1">
      <c r="A20" t="s" s="24">
        <v>49</v>
      </c>
      <c r="B20" s="25">
        <v>395</v>
      </c>
      <c r="C20" s="26">
        <v>0</v>
      </c>
      <c r="D20" s="26">
        <v>0</v>
      </c>
      <c r="E20" s="26">
        <v>0</v>
      </c>
      <c r="F20" s="26">
        <v>0</v>
      </c>
      <c r="G20" s="26">
        <v>1.1185</v>
      </c>
      <c r="H20" s="26">
        <v>0.1472</v>
      </c>
      <c r="I20" s="26">
        <v>0</v>
      </c>
      <c r="J20" s="26">
        <v>0</v>
      </c>
      <c r="K20" s="26">
        <v>3.6204</v>
      </c>
      <c r="L20" s="26">
        <v>0.0589</v>
      </c>
      <c r="M20" s="26">
        <v>0</v>
      </c>
      <c r="N20" s="26">
        <v>0</v>
      </c>
      <c r="O20" s="29">
        <v>275.8887</v>
      </c>
      <c r="P20" s="26">
        <v>0</v>
      </c>
      <c r="Q20" s="26">
        <v>0</v>
      </c>
      <c r="R20" s="26">
        <v>3.7382</v>
      </c>
      <c r="S20" s="26">
        <v>1.5012</v>
      </c>
      <c r="T20" s="26">
        <v>0</v>
      </c>
      <c r="U20" s="26">
        <v>73.40940000000001</v>
      </c>
      <c r="V20" s="27">
        <f>SUM(C20:U20)</f>
        <v>359.4825</v>
      </c>
      <c r="W20" s="28">
        <f>_xlfn.IFERROR(B20/V20,"-")</f>
        <v>1.09880174973747</v>
      </c>
      <c r="X20" s="22"/>
      <c r="Y20" s="11"/>
      <c r="Z20" s="11"/>
    </row>
    <row r="21" ht="13.65" customHeight="1">
      <c r="A21" t="s" s="24">
        <v>50</v>
      </c>
      <c r="B21" s="25">
        <v>358</v>
      </c>
      <c r="C21" s="26">
        <v>0</v>
      </c>
      <c r="D21" s="26">
        <v>0.1722</v>
      </c>
      <c r="E21" s="26">
        <v>0</v>
      </c>
      <c r="F21" s="26">
        <v>1.0008</v>
      </c>
      <c r="G21" s="26">
        <v>0</v>
      </c>
      <c r="H21" s="26">
        <v>0.4415</v>
      </c>
      <c r="I21" s="26">
        <v>0.0294</v>
      </c>
      <c r="J21" s="26">
        <v>0</v>
      </c>
      <c r="K21" s="26">
        <v>0.0294</v>
      </c>
      <c r="L21" s="26">
        <v>6.6522</v>
      </c>
      <c r="M21" s="26">
        <v>0</v>
      </c>
      <c r="N21" s="26">
        <v>0</v>
      </c>
      <c r="O21" s="26">
        <v>0</v>
      </c>
      <c r="P21" s="29">
        <v>279.5091</v>
      </c>
      <c r="Q21" s="26">
        <v>0</v>
      </c>
      <c r="R21" s="26">
        <v>3.9736</v>
      </c>
      <c r="S21" s="26">
        <v>0.0294</v>
      </c>
      <c r="T21" s="26">
        <v>4.474</v>
      </c>
      <c r="U21" s="26">
        <v>77.9717</v>
      </c>
      <c r="V21" s="27">
        <f>SUM(C21:U21)</f>
        <v>374.2833</v>
      </c>
      <c r="W21" s="28">
        <f>_xlfn.IFERROR(B21/V21,"-")</f>
        <v>0.9564947193743349</v>
      </c>
      <c r="X21" s="22"/>
      <c r="Y21" s="11"/>
      <c r="Z21" s="11"/>
    </row>
    <row r="22" ht="13.65" customHeight="1">
      <c r="A22" t="s" s="30">
        <v>51</v>
      </c>
      <c r="B22" s="25">
        <v>36928</v>
      </c>
      <c r="C22" s="26">
        <v>2985.0611</v>
      </c>
      <c r="D22" s="26">
        <v>414.7698</v>
      </c>
      <c r="E22" s="26">
        <v>303.1744</v>
      </c>
      <c r="F22" s="26">
        <v>828.2841</v>
      </c>
      <c r="G22" s="26">
        <v>818.5413</v>
      </c>
      <c r="H22" s="26">
        <v>1940.3159</v>
      </c>
      <c r="I22" s="26">
        <v>588.3348999999999</v>
      </c>
      <c r="J22" s="26">
        <v>587.5696</v>
      </c>
      <c r="K22" s="26">
        <v>606.4076</v>
      </c>
      <c r="L22" s="26">
        <v>604.9947</v>
      </c>
      <c r="M22" s="26">
        <v>1347.5659</v>
      </c>
      <c r="N22" s="26">
        <v>1341.2669</v>
      </c>
      <c r="O22" s="26">
        <v>1441.7854</v>
      </c>
      <c r="P22" s="26">
        <v>1446.1417</v>
      </c>
      <c r="Q22" s="26">
        <v>914.6741</v>
      </c>
      <c r="R22" s="26">
        <v>1030.9694</v>
      </c>
      <c r="S22" s="26">
        <v>997.9734999999999</v>
      </c>
      <c r="T22" s="26">
        <v>993.6172</v>
      </c>
      <c r="U22" s="26">
        <v>16680.1527</v>
      </c>
      <c r="V22" s="27">
        <f>SUM(C22:U22)</f>
        <v>35871.6002</v>
      </c>
      <c r="W22" s="28">
        <f>_xlfn.IFERROR(B22/V22,"-")</f>
        <v>1.02944947518678</v>
      </c>
      <c r="X22" s="22"/>
      <c r="Y22" s="11"/>
      <c r="Z22" s="11"/>
    </row>
  </sheetData>
  <mergeCells count="9">
    <mergeCell ref="A1:Z1"/>
    <mergeCell ref="A3:A4"/>
    <mergeCell ref="B3:B4"/>
    <mergeCell ref="C3:D3"/>
    <mergeCell ref="E3:H3"/>
    <mergeCell ref="I3:P3"/>
    <mergeCell ref="Q3:T3"/>
    <mergeCell ref="V3:V4"/>
    <mergeCell ref="W3:W4"/>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66667" defaultRowHeight="15" customHeight="1" outlineLevelRow="0" outlineLevelCol="0"/>
  <cols>
    <col min="1" max="1" width="28" style="31" customWidth="1"/>
    <col min="2" max="2" width="80" style="31" customWidth="1"/>
    <col min="3" max="5" width="8.67188" style="31" customWidth="1"/>
    <col min="6" max="16384" width="8.67188" style="31" customWidth="1"/>
  </cols>
  <sheetData>
    <row r="1" ht="14.6" customHeight="1">
      <c r="A1" t="s" s="32">
        <v>53</v>
      </c>
      <c r="B1" s="33"/>
      <c r="C1" s="11"/>
      <c r="D1" s="11"/>
      <c r="E1" s="11"/>
    </row>
    <row r="2" ht="14.6" customHeight="1">
      <c r="A2" t="s" s="32">
        <v>9</v>
      </c>
      <c r="B2" t="s" s="34">
        <v>54</v>
      </c>
      <c r="C2" s="11"/>
      <c r="D2" s="11"/>
      <c r="E2" s="11"/>
    </row>
    <row r="3" ht="14.6" customHeight="1">
      <c r="A3" t="s" s="32">
        <v>10</v>
      </c>
      <c r="B3" t="s" s="34">
        <v>55</v>
      </c>
      <c r="C3" s="11"/>
      <c r="D3" s="11"/>
      <c r="E3" s="11"/>
    </row>
    <row r="4" ht="14.6" customHeight="1">
      <c r="A4" t="s" s="32">
        <v>11</v>
      </c>
      <c r="B4" t="s" s="34">
        <v>56</v>
      </c>
      <c r="C4" s="11"/>
      <c r="D4" s="11"/>
      <c r="E4" s="11"/>
    </row>
    <row r="5" ht="14.6" customHeight="1">
      <c r="A5" t="s" s="32">
        <v>12</v>
      </c>
      <c r="B5" t="s" s="34">
        <v>57</v>
      </c>
      <c r="C5" s="11"/>
      <c r="D5" s="11"/>
      <c r="E5" s="11"/>
    </row>
    <row r="6" ht="14.6" customHeight="1">
      <c r="A6" t="s" s="32">
        <v>13</v>
      </c>
      <c r="B6" t="s" s="34">
        <v>58</v>
      </c>
      <c r="C6" s="11"/>
      <c r="D6" s="11"/>
      <c r="E6" s="11"/>
    </row>
    <row r="7" ht="14.6" customHeight="1">
      <c r="A7" s="35"/>
      <c r="B7" s="33"/>
      <c r="C7" s="11"/>
      <c r="D7" s="11"/>
      <c r="E7" s="11"/>
    </row>
    <row r="8" ht="14.6" customHeight="1">
      <c r="A8" t="s" s="32">
        <v>59</v>
      </c>
      <c r="B8" s="33"/>
      <c r="C8" s="11"/>
      <c r="D8" s="11"/>
      <c r="E8" s="11"/>
    </row>
    <row r="9" ht="14.6" customHeight="1">
      <c r="A9" t="s" s="32">
        <v>60</v>
      </c>
      <c r="B9" t="s" s="34">
        <v>61</v>
      </c>
      <c r="C9" s="11"/>
      <c r="D9" s="11"/>
      <c r="E9" s="11"/>
    </row>
    <row r="10" ht="14.6" customHeight="1">
      <c r="A10" t="s" s="32">
        <v>62</v>
      </c>
      <c r="B10" t="s" s="34">
        <v>63</v>
      </c>
      <c r="C10" s="11"/>
      <c r="D10" s="11"/>
      <c r="E10" s="11"/>
    </row>
    <row r="11" ht="14.6" customHeight="1">
      <c r="A11" s="35"/>
      <c r="B11" s="33"/>
      <c r="C11" s="11"/>
      <c r="D11" s="11"/>
      <c r="E11" s="11"/>
    </row>
    <row r="12" ht="14.6" customHeight="1">
      <c r="A12" t="s" s="32">
        <v>64</v>
      </c>
      <c r="B12" s="33"/>
      <c r="C12" s="11"/>
      <c r="D12" s="11"/>
      <c r="E12" s="11"/>
    </row>
    <row r="13" ht="14.6" customHeight="1">
      <c r="A13" t="s" s="32">
        <v>14</v>
      </c>
      <c r="B13" t="s" s="34">
        <v>65</v>
      </c>
      <c r="C13" s="11"/>
      <c r="D13" s="11"/>
      <c r="E13" s="11"/>
    </row>
    <row r="14" ht="14.6" customHeight="1">
      <c r="A14" t="s" s="32">
        <v>15</v>
      </c>
      <c r="B14" t="s" s="34">
        <v>66</v>
      </c>
      <c r="C14" s="11"/>
      <c r="D14" s="11"/>
      <c r="E14" s="11"/>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