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Z→ττ Yields" sheetId="1" state="visible" r:id="rId3"/>
    <sheet name="Legen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<sst xmlns="http://schemas.openxmlformats.org/spreadsheetml/2006/main" count="68" uniqueCount="60">
  <si>
    <t xml:space="preserve">Z→ττ Analysis: Data vs MC Yields by Region</t>
  </si>
  <si>
    <t xml:space="preserve">Region</t>
  </si>
  <si>
    <t xml:space="preserve">Data</t>
  </si>
  <si>
    <t xml:space="preserve">Z bkg</t>
  </si>
  <si>
    <t xml:space="preserve">Z→ττ hadronic</t>
  </si>
  <si>
    <t xml:space="preserve">Z→ττ semi-lep</t>
  </si>
  <si>
    <t xml:space="preserve">Z→ττ leptonic</t>
  </si>
  <si>
    <t xml:space="preserve">Other</t>
  </si>
  <si>
    <t xml:space="preserve">Total MC</t>
  </si>
  <si>
    <t xml:space="preserve">Data/MC</t>
  </si>
  <si>
    <t xml:space="preserve">Z→qq</t>
  </si>
  <si>
    <t xml:space="preserve">Z→ℓℓ</t>
  </si>
  <si>
    <t xml:space="preserve">ππ</t>
  </si>
  <si>
    <t xml:space="preserve">πρ</t>
  </si>
  <si>
    <t xml:space="preserve">ρπ</t>
  </si>
  <si>
    <t xml:space="preserve">ρρ</t>
  </si>
  <si>
    <t xml:space="preserve">πe</t>
  </si>
  <si>
    <t xml:space="preserve">eπ</t>
  </si>
  <si>
    <t xml:space="preserve">πμ</t>
  </si>
  <si>
    <t xml:space="preserve">μπ</t>
  </si>
  <si>
    <t xml:space="preserve">ρe</t>
  </si>
  <si>
    <t xml:space="preserve">eρ</t>
  </si>
  <si>
    <t xml:space="preserve">ρμ</t>
  </si>
  <si>
    <t xml:space="preserve">μρ</t>
  </si>
  <si>
    <t xml:space="preserve">ee</t>
  </si>
  <si>
    <t xml:space="preserve">μμ</t>
  </si>
  <si>
    <t xml:space="preserve">eμ</t>
  </si>
  <si>
    <t xml:space="preserve">μe</t>
  </si>
  <si>
    <t xml:space="preserve">Other bkg</t>
  </si>
  <si>
    <t xml:space="preserve">zee</t>
  </si>
  <si>
    <t xml:space="preserve">zmumu</t>
  </si>
  <si>
    <t xml:space="preserve">mumu</t>
  </si>
  <si>
    <t xml:space="preserve">emu</t>
  </si>
  <si>
    <t xml:space="preserve">mue</t>
  </si>
  <si>
    <t xml:space="preserve">pipi</t>
  </si>
  <si>
    <t xml:space="preserve">pirho</t>
  </si>
  <si>
    <t xml:space="preserve">rhopi</t>
  </si>
  <si>
    <t xml:space="preserve">pi_el</t>
  </si>
  <si>
    <t xml:space="preserve">el_pi</t>
  </si>
  <si>
    <t xml:space="preserve">pi_mu</t>
  </si>
  <si>
    <t xml:space="preserve">mu_pi</t>
  </si>
  <si>
    <t xml:space="preserve">rho_el</t>
  </si>
  <si>
    <t xml:space="preserve">el_rho</t>
  </si>
  <si>
    <t xml:space="preserve">rho_mu</t>
  </si>
  <si>
    <t xml:space="preserve">mu_rho</t>
  </si>
  <si>
    <t xml:space="preserve">baseline</t>
  </si>
  <si>
    <t xml:space="preserve">Column groups</t>
  </si>
  <si>
    <t xml:space="preserve">Z→qq and Z→ℓℓ background processes</t>
  </si>
  <si>
    <t xml:space="preserve">Both taus decay hadronically (π or ρ)</t>
  </si>
  <si>
    <t xml:space="preserve">One hadronic + one leptonic tau decay</t>
  </si>
  <si>
    <t xml:space="preserve">Both taus decay leptonically</t>
  </si>
  <si>
    <t xml:space="preserve">Sum of remaining backgrounds</t>
  </si>
  <si>
    <t xml:space="preserve">Highlighting</t>
  </si>
  <si>
    <t xml:space="preserve">Yellow cells</t>
  </si>
  <si>
    <t xml:space="preserve">Diagonal: the MC component matching the region name (the 'signal' for that region)</t>
  </si>
  <si>
    <t xml:space="preserve">Red→Green scale on Data/MC</t>
  </si>
  <si>
    <t xml:space="preserve">Red &lt; 1.00 (MC over-predicts) → Green &gt; 1.00 (MC under-predicts)</t>
  </si>
  <si>
    <t xml:space="preserve">Notes</t>
  </si>
  <si>
    <t xml:space="preserve">Computed as SUM of all background + Z→ττ component columns</t>
  </si>
  <si>
    <t xml:space="preserve">Data divided by Total MC; values near 1.0 indicate good MC modelling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</si>
</sst>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0;\-0.00;\-"/>
    <numFmt numFmtId="167" formatCode="#,##0.00"/>
    <numFmt numFmtId="168" formatCode="0.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8FAADC"/>
        <bgColor rgb="FF969696"/>
      </patternFill>
    </fill>
    <fill>
      <patternFill patternType="solid">
        <fgColor rgb="FFA9D08E"/>
        <bgColor rgb="FFBFBFBF"/>
      </patternFill>
    </fill>
    <fill>
      <patternFill patternType="solid">
        <fgColor rgb="FFFFD966"/>
        <bgColor rgb="FFF4B084"/>
      </patternFill>
    </fill>
    <fill>
      <patternFill patternType="solid">
        <fgColor rgb="FFF4B084"/>
        <bgColor rgb="FFFFD966"/>
      </patternFill>
    </fill>
    <fill>
      <patternFill patternType="solid">
        <fgColor rgb="FFD9D9D9"/>
        <bgColor rgb="FFE7E6E6"/>
      </patternFill>
    </fill>
    <fill>
      <patternFill patternType="solid">
        <fgColor rgb="FFE7E6E6"/>
        <bgColor rgb="FFD9D9D9"/>
      </patternFill>
    </fill>
    <fill>
      <patternFill patternType="solid">
        <fgColor rgb="FFFFFF99"/>
        <bgColor rgb="FFCC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FAADC"/>
      <rgbColor rgb="FF993366"/>
      <rgbColor rgb="FFE7E6E6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D08E"/>
      <rgbColor rgb="FFF4B084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21" min="3" style="0" width="9"/>
    <col collapsed="false" customWidth="true" hidden="false" outlineLevel="0" max="22" min="22" style="0" width="12"/>
    <col collapsed="false" customWidth="true" hidden="false" outlineLevel="0" max="23" min="23" style="0" width="9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3" customFormat="false" ht="15" hidden="false" customHeight="false" outlineLevel="0" collapsed="false">
      <c r="A3" s="2" t="s">
        <v>1</v>
      </c>
      <c r="B3" s="2" t="s">
        <v>2</v>
      </c>
      <c r="C3" s="3" t="s">
        <v>3</v>
      </c>
      <c r="D3" s="3"/>
      <c r="E3" s="4" t="s">
        <v>4</v>
      </c>
      <c r="F3" s="4"/>
      <c r="G3" s="4"/>
      <c r="H3" s="4"/>
      <c r="I3" s="5" t="s">
        <v>5</v>
      </c>
      <c r="J3" s="5"/>
      <c r="K3" s="5"/>
      <c r="L3" s="5"/>
      <c r="M3" s="5"/>
      <c r="N3" s="5"/>
      <c r="O3" s="5"/>
      <c r="P3" s="5"/>
      <c r="Q3" s="6" t="s">
        <v>6</v>
      </c>
      <c r="R3" s="6"/>
      <c r="S3" s="6"/>
      <c r="T3" s="6"/>
      <c r="U3" s="7" t="s">
        <v>7</v>
      </c>
      <c r="V3" s="2" t="s">
        <v>8</v>
      </c>
      <c r="W3" s="2" t="s">
        <v>9</v>
      </c>
    </row>
    <row r="4" customFormat="false" ht="15" hidden="false" customHeight="false" outlineLevel="0" collapsed="false">
      <c r="A4" s="2"/>
      <c r="B4" s="2"/>
      <c r="C4" s="2" t="s">
        <v>10</v>
      </c>
      <c r="D4" s="2" t="s">
        <v>11</v>
      </c>
      <c r="E4" s="2" t="s">
        <v>12</v>
      </c>
      <c r="F4" s="2" t="s">
        <v>13</v>
      </c>
      <c r="G4" s="2" t="s">
        <v>14</v>
      </c>
      <c r="H4" s="2" t="s">
        <v>15</v>
      </c>
      <c r="I4" s="2" t="s">
        <v>16</v>
      </c>
      <c r="J4" s="2" t="s">
        <v>17</v>
      </c>
      <c r="K4" s="2" t="s">
        <v>18</v>
      </c>
      <c r="L4" s="2" t="s">
        <v>19</v>
      </c>
      <c r="M4" s="2" t="s">
        <v>20</v>
      </c>
      <c r="N4" s="2" t="s">
        <v>21</v>
      </c>
      <c r="O4" s="2" t="s">
        <v>22</v>
      </c>
      <c r="P4" s="2" t="s">
        <v>23</v>
      </c>
      <c r="Q4" s="2" t="s">
        <v>24</v>
      </c>
      <c r="R4" s="2" t="s">
        <v>25</v>
      </c>
      <c r="S4" s="2" t="s">
        <v>26</v>
      </c>
      <c r="T4" s="2" t="s">
        <v>27</v>
      </c>
      <c r="U4" s="2" t="s">
        <v>28</v>
      </c>
      <c r="V4" s="2"/>
      <c r="W4" s="2"/>
    </row>
    <row r="5" customFormat="false" ht="15" hidden="false" customHeight="false" outlineLevel="0" collapsed="false">
      <c r="A5" s="8" t="s">
        <v>29</v>
      </c>
      <c r="B5" s="9" t="n">
        <v>7094</v>
      </c>
      <c r="C5" s="10" t="n">
        <v>0</v>
      </c>
      <c r="D5" s="10" t="n">
        <v>7567.5402</v>
      </c>
      <c r="E5" s="10" t="n">
        <v>0</v>
      </c>
      <c r="F5" s="10" t="n">
        <v>0</v>
      </c>
      <c r="G5" s="10" t="n">
        <v>0</v>
      </c>
      <c r="H5" s="10" t="n">
        <v>0</v>
      </c>
      <c r="I5" s="10" t="n">
        <v>0</v>
      </c>
      <c r="J5" s="10" t="n">
        <v>0.0294</v>
      </c>
      <c r="K5" s="10" t="n">
        <v>0</v>
      </c>
      <c r="L5" s="10" t="n">
        <v>0</v>
      </c>
      <c r="M5" s="10" t="n">
        <v>0</v>
      </c>
      <c r="N5" s="10" t="n">
        <v>0</v>
      </c>
      <c r="O5" s="10" t="n">
        <v>0</v>
      </c>
      <c r="P5" s="10" t="n">
        <v>0</v>
      </c>
      <c r="Q5" s="10" t="n">
        <v>0.2355</v>
      </c>
      <c r="R5" s="10" t="n">
        <v>0</v>
      </c>
      <c r="S5" s="10" t="n">
        <v>0</v>
      </c>
      <c r="T5" s="10" t="n">
        <v>0</v>
      </c>
      <c r="U5" s="10" t="n">
        <v>0</v>
      </c>
      <c r="V5" s="11" t="n">
        <f aca="false">SUM(C5:U5)</f>
        <v>7567.8051</v>
      </c>
      <c r="W5" s="12" t="n">
        <f aca="false">IFERROR(B5/V5,"-")</f>
        <v>0.93739200551029</v>
      </c>
    </row>
    <row r="6" customFormat="false" ht="15" hidden="false" customHeight="false" outlineLevel="0" collapsed="false">
      <c r="A6" s="8" t="s">
        <v>30</v>
      </c>
      <c r="B6" s="9" t="n">
        <v>27840</v>
      </c>
      <c r="C6" s="10" t="n">
        <v>0</v>
      </c>
      <c r="D6" s="10" t="n">
        <v>28405.7052</v>
      </c>
      <c r="E6" s="10" t="n">
        <v>0</v>
      </c>
      <c r="F6" s="10" t="n">
        <v>0</v>
      </c>
      <c r="G6" s="10" t="n">
        <v>0</v>
      </c>
      <c r="H6" s="10" t="n">
        <v>0</v>
      </c>
      <c r="I6" s="10" t="n">
        <v>0</v>
      </c>
      <c r="J6" s="10" t="n">
        <v>0</v>
      </c>
      <c r="K6" s="10" t="n">
        <v>0.0589</v>
      </c>
      <c r="L6" s="10" t="n">
        <v>0.0589</v>
      </c>
      <c r="M6" s="10" t="n">
        <v>0</v>
      </c>
      <c r="N6" s="10" t="n">
        <v>0</v>
      </c>
      <c r="O6" s="10" t="n">
        <v>0</v>
      </c>
      <c r="P6" s="10" t="n">
        <v>0</v>
      </c>
      <c r="Q6" s="10" t="n">
        <v>0</v>
      </c>
      <c r="R6" s="10" t="n">
        <v>0.7947</v>
      </c>
      <c r="S6" s="10" t="n">
        <v>0</v>
      </c>
      <c r="T6" s="10" t="n">
        <v>0</v>
      </c>
      <c r="U6" s="10" t="n">
        <v>0</v>
      </c>
      <c r="V6" s="11" t="n">
        <f aca="false">SUM(C6:U6)</f>
        <v>28406.6177</v>
      </c>
      <c r="W6" s="12" t="n">
        <f aca="false">IFERROR(B6/V6,"-")</f>
        <v>0.980053320462717</v>
      </c>
    </row>
    <row r="7" customFormat="false" ht="15" hidden="false" customHeight="false" outlineLevel="0" collapsed="false">
      <c r="A7" s="8" t="s">
        <v>24</v>
      </c>
      <c r="B7" s="9" t="n">
        <v>313</v>
      </c>
      <c r="C7" s="10" t="n">
        <v>0</v>
      </c>
      <c r="D7" s="10" t="n">
        <v>25.8227</v>
      </c>
      <c r="E7" s="10" t="n">
        <v>0</v>
      </c>
      <c r="F7" s="10" t="n">
        <v>0</v>
      </c>
      <c r="G7" s="10" t="n">
        <v>0</v>
      </c>
      <c r="H7" s="10" t="n">
        <v>0</v>
      </c>
      <c r="I7" s="10" t="n">
        <v>1.2657</v>
      </c>
      <c r="J7" s="10" t="n">
        <v>0.7064</v>
      </c>
      <c r="K7" s="10" t="n">
        <v>0</v>
      </c>
      <c r="L7" s="10" t="n">
        <v>0</v>
      </c>
      <c r="M7" s="10" t="n">
        <v>0.5298</v>
      </c>
      <c r="N7" s="10" t="n">
        <v>0.5298</v>
      </c>
      <c r="O7" s="10" t="n">
        <v>0</v>
      </c>
      <c r="P7" s="10" t="n">
        <v>0</v>
      </c>
      <c r="Q7" s="13" t="n">
        <v>250.6339</v>
      </c>
      <c r="R7" s="10" t="n">
        <v>0</v>
      </c>
      <c r="S7" s="10" t="n">
        <v>0</v>
      </c>
      <c r="T7" s="10" t="n">
        <v>0.0294</v>
      </c>
      <c r="U7" s="10" t="n">
        <v>0.5887</v>
      </c>
      <c r="V7" s="11" t="n">
        <f aca="false">SUM(C7:U7)</f>
        <v>280.1064</v>
      </c>
      <c r="W7" s="12" t="n">
        <f aca="false">IFERROR(B7/V7,"-")</f>
        <v>1.11743251850011</v>
      </c>
    </row>
    <row r="8" customFormat="false" ht="15" hidden="false" customHeight="false" outlineLevel="0" collapsed="false">
      <c r="A8" s="8" t="s">
        <v>31</v>
      </c>
      <c r="B8" s="9" t="n">
        <v>670</v>
      </c>
      <c r="C8" s="10" t="n">
        <v>0</v>
      </c>
      <c r="D8" s="10" t="n">
        <v>58.5314</v>
      </c>
      <c r="E8" s="10" t="n">
        <v>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1.5895</v>
      </c>
      <c r="L8" s="10" t="n">
        <v>2.9729</v>
      </c>
      <c r="M8" s="10" t="n">
        <v>0</v>
      </c>
      <c r="N8" s="10" t="n">
        <v>0</v>
      </c>
      <c r="O8" s="10" t="n">
        <v>1.1479</v>
      </c>
      <c r="P8" s="10" t="n">
        <v>1.0008</v>
      </c>
      <c r="Q8" s="10" t="n">
        <v>0</v>
      </c>
      <c r="R8" s="13" t="n">
        <v>557.8703</v>
      </c>
      <c r="S8" s="10" t="n">
        <v>0</v>
      </c>
      <c r="T8" s="10" t="n">
        <v>0</v>
      </c>
      <c r="U8" s="10" t="n">
        <v>2.4725</v>
      </c>
      <c r="V8" s="11" t="n">
        <f aca="false">SUM(C8:U8)</f>
        <v>625.5853</v>
      </c>
      <c r="W8" s="12" t="n">
        <f aca="false">IFERROR(B8/V8,"-")</f>
        <v>1.07099703269882</v>
      </c>
    </row>
    <row r="9" customFormat="false" ht="15" hidden="false" customHeight="false" outlineLevel="0" collapsed="false">
      <c r="A9" s="8" t="s">
        <v>32</v>
      </c>
      <c r="B9" s="9" t="n">
        <v>203</v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10" t="n">
        <v>0</v>
      </c>
      <c r="I9" s="10" t="n">
        <v>0.6476</v>
      </c>
      <c r="J9" s="10" t="n">
        <v>0</v>
      </c>
      <c r="K9" s="10" t="n">
        <v>0</v>
      </c>
      <c r="L9" s="10" t="n">
        <v>1.0008</v>
      </c>
      <c r="M9" s="10" t="n">
        <v>0.2355</v>
      </c>
      <c r="N9" s="10" t="n">
        <v>0</v>
      </c>
      <c r="O9" s="10" t="n">
        <v>0</v>
      </c>
      <c r="P9" s="10" t="n">
        <v>0.1177</v>
      </c>
      <c r="Q9" s="10" t="n">
        <v>0</v>
      </c>
      <c r="R9" s="10" t="n">
        <v>0</v>
      </c>
      <c r="S9" s="13" t="n">
        <v>0</v>
      </c>
      <c r="T9" s="10" t="n">
        <v>200.3894</v>
      </c>
      <c r="U9" s="10" t="n">
        <v>1.0302</v>
      </c>
      <c r="V9" s="11" t="n">
        <f aca="false">SUM(C9:U9)</f>
        <v>203.4212</v>
      </c>
      <c r="W9" s="12" t="n">
        <f aca="false">IFERROR(B9/V9,"-")</f>
        <v>0.997929419352555</v>
      </c>
    </row>
    <row r="10" customFormat="false" ht="15" hidden="false" customHeight="false" outlineLevel="0" collapsed="false">
      <c r="A10" s="8" t="s">
        <v>33</v>
      </c>
      <c r="B10" s="9" t="n">
        <v>202</v>
      </c>
      <c r="C10" s="10" t="n">
        <v>0</v>
      </c>
      <c r="D10" s="10" t="n">
        <v>0</v>
      </c>
      <c r="E10" s="10" t="n">
        <v>0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0.5887</v>
      </c>
      <c r="K10" s="10" t="n">
        <v>0.9419</v>
      </c>
      <c r="L10" s="10" t="n">
        <v>0</v>
      </c>
      <c r="M10" s="10" t="n">
        <v>0</v>
      </c>
      <c r="N10" s="10" t="n">
        <v>0.4121</v>
      </c>
      <c r="O10" s="10" t="n">
        <v>0.5593</v>
      </c>
      <c r="P10" s="10" t="n">
        <v>0</v>
      </c>
      <c r="Q10" s="10" t="n">
        <v>0</v>
      </c>
      <c r="R10" s="10" t="n">
        <v>0</v>
      </c>
      <c r="S10" s="10" t="n">
        <v>176.8125</v>
      </c>
      <c r="T10" s="13" t="n">
        <v>0</v>
      </c>
      <c r="U10" s="10" t="n">
        <v>0.5004</v>
      </c>
      <c r="V10" s="11" t="n">
        <f aca="false">SUM(C10:U10)</f>
        <v>179.8149</v>
      </c>
      <c r="W10" s="12" t="n">
        <f aca="false">IFERROR(B10/V10,"-")</f>
        <v>1.12337742867805</v>
      </c>
    </row>
    <row r="11" customFormat="false" ht="15" hidden="false" customHeight="false" outlineLevel="0" collapsed="false">
      <c r="A11" s="8" t="s">
        <v>34</v>
      </c>
      <c r="B11" s="9" t="n">
        <v>1028</v>
      </c>
      <c r="C11" s="10" t="n">
        <v>0</v>
      </c>
      <c r="D11" s="10" t="n">
        <v>4.4759</v>
      </c>
      <c r="E11" s="13" t="n">
        <v>186.4375</v>
      </c>
      <c r="F11" s="10" t="n">
        <v>89.0096</v>
      </c>
      <c r="G11" s="10" t="n">
        <v>87.5968</v>
      </c>
      <c r="H11" s="10" t="n">
        <v>41.2082</v>
      </c>
      <c r="I11" s="10" t="n">
        <v>39.8247</v>
      </c>
      <c r="J11" s="10" t="n">
        <v>35.91</v>
      </c>
      <c r="K11" s="10" t="n">
        <v>78.2661</v>
      </c>
      <c r="L11" s="10" t="n">
        <v>73.2034</v>
      </c>
      <c r="M11" s="10" t="n">
        <v>14.8349</v>
      </c>
      <c r="N11" s="10" t="n">
        <v>15.6002</v>
      </c>
      <c r="O11" s="10" t="n">
        <v>28.9046</v>
      </c>
      <c r="P11" s="10" t="n">
        <v>28.9046</v>
      </c>
      <c r="Q11" s="10" t="n">
        <v>5.8869</v>
      </c>
      <c r="R11" s="10" t="n">
        <v>56.1314</v>
      </c>
      <c r="S11" s="10" t="n">
        <v>11.5972</v>
      </c>
      <c r="T11" s="10" t="n">
        <v>11.4205</v>
      </c>
      <c r="U11" s="10" t="n">
        <v>189.4398</v>
      </c>
      <c r="V11" s="11" t="n">
        <f aca="false">SUM(C11:U11)</f>
        <v>998.6523</v>
      </c>
      <c r="W11" s="12" t="n">
        <f aca="false">IFERROR(B11/V11,"-")</f>
        <v>1.02938730527131</v>
      </c>
    </row>
    <row r="12" customFormat="false" ht="15" hidden="false" customHeight="false" outlineLevel="0" collapsed="false">
      <c r="A12" s="8" t="s">
        <v>35</v>
      </c>
      <c r="B12" s="9" t="n">
        <v>829</v>
      </c>
      <c r="C12" s="10" t="n">
        <v>0</v>
      </c>
      <c r="D12" s="10" t="n">
        <v>0.9755</v>
      </c>
      <c r="E12" s="10" t="n">
        <v>5.2688</v>
      </c>
      <c r="F12" s="13" t="n">
        <v>312.8583</v>
      </c>
      <c r="G12" s="10" t="n">
        <v>2.9434</v>
      </c>
      <c r="H12" s="10" t="n">
        <v>123.6539</v>
      </c>
      <c r="I12" s="10" t="n">
        <v>2.8257</v>
      </c>
      <c r="J12" s="10" t="n">
        <v>1.354</v>
      </c>
      <c r="K12" s="10" t="n">
        <v>0.4121</v>
      </c>
      <c r="L12" s="10" t="n">
        <v>2.8846</v>
      </c>
      <c r="M12" s="10" t="n">
        <v>1.0891</v>
      </c>
      <c r="N12" s="10" t="n">
        <v>49.5087</v>
      </c>
      <c r="O12" s="10" t="n">
        <v>0.1177</v>
      </c>
      <c r="P12" s="10" t="n">
        <v>103.5502</v>
      </c>
      <c r="Q12" s="10" t="n">
        <v>0.2649</v>
      </c>
      <c r="R12" s="10" t="n">
        <v>0.206</v>
      </c>
      <c r="S12" s="10" t="n">
        <v>0</v>
      </c>
      <c r="T12" s="10" t="n">
        <v>0.9419</v>
      </c>
      <c r="U12" s="10" t="n">
        <v>250.8694</v>
      </c>
      <c r="V12" s="11" t="n">
        <f aca="false">SUM(C12:U12)</f>
        <v>859.7242</v>
      </c>
      <c r="W12" s="12" t="n">
        <f aca="false">IFERROR(B12/V12,"-")</f>
        <v>0.964262725185589</v>
      </c>
    </row>
    <row r="13" customFormat="false" ht="15" hidden="false" customHeight="false" outlineLevel="0" collapsed="false">
      <c r="A13" s="8" t="s">
        <v>36</v>
      </c>
      <c r="B13" s="9" t="n">
        <v>843</v>
      </c>
      <c r="C13" s="10" t="n">
        <v>0</v>
      </c>
      <c r="D13" s="10" t="n">
        <v>1.3772</v>
      </c>
      <c r="E13" s="10" t="n">
        <v>4.7978</v>
      </c>
      <c r="F13" s="10" t="n">
        <v>2.5019</v>
      </c>
      <c r="G13" s="13" t="n">
        <v>308.9435</v>
      </c>
      <c r="H13" s="10" t="n">
        <v>117.2667</v>
      </c>
      <c r="I13" s="10" t="n">
        <v>0.8536</v>
      </c>
      <c r="J13" s="10" t="n">
        <v>2.3253</v>
      </c>
      <c r="K13" s="10" t="n">
        <v>2.6785</v>
      </c>
      <c r="L13" s="10" t="n">
        <v>0.3532</v>
      </c>
      <c r="M13" s="10" t="n">
        <v>52.4227</v>
      </c>
      <c r="N13" s="10" t="n">
        <v>1.0891</v>
      </c>
      <c r="O13" s="10" t="n">
        <v>104.1684</v>
      </c>
      <c r="P13" s="10" t="n">
        <v>0.3238</v>
      </c>
      <c r="Q13" s="10" t="n">
        <v>0.206</v>
      </c>
      <c r="R13" s="10" t="n">
        <v>0.3532</v>
      </c>
      <c r="S13" s="10" t="n">
        <v>0.8536</v>
      </c>
      <c r="T13" s="10" t="n">
        <v>0.0294</v>
      </c>
      <c r="U13" s="10" t="n">
        <v>240.5379</v>
      </c>
      <c r="V13" s="11" t="n">
        <f aca="false">SUM(C13:U13)</f>
        <v>841.0818</v>
      </c>
      <c r="W13" s="12" t="n">
        <f aca="false">IFERROR(B13/V13,"-")</f>
        <v>1.0022806342974</v>
      </c>
    </row>
    <row r="14" customFormat="false" ht="15" hidden="false" customHeight="false" outlineLevel="0" collapsed="false">
      <c r="A14" s="8" t="s">
        <v>37</v>
      </c>
      <c r="B14" s="9" t="n">
        <v>555</v>
      </c>
      <c r="C14" s="10" t="n">
        <v>0</v>
      </c>
      <c r="D14" s="10" t="n">
        <v>17.6742</v>
      </c>
      <c r="E14" s="10" t="n">
        <v>0.677</v>
      </c>
      <c r="F14" s="10" t="n">
        <v>0.2943</v>
      </c>
      <c r="G14" s="10" t="n">
        <v>0.2355</v>
      </c>
      <c r="H14" s="10" t="n">
        <v>0.0589</v>
      </c>
      <c r="I14" s="13" t="n">
        <v>140.6376</v>
      </c>
      <c r="J14" s="10" t="n">
        <v>0.1472</v>
      </c>
      <c r="K14" s="10" t="n">
        <v>0</v>
      </c>
      <c r="L14" s="10" t="n">
        <v>1.5895</v>
      </c>
      <c r="M14" s="10" t="n">
        <v>56.1314</v>
      </c>
      <c r="N14" s="10" t="n">
        <v>0.0883</v>
      </c>
      <c r="O14" s="10" t="n">
        <v>0</v>
      </c>
      <c r="P14" s="10" t="n">
        <v>0.2649</v>
      </c>
      <c r="Q14" s="10" t="n">
        <v>67.8757</v>
      </c>
      <c r="R14" s="10" t="n">
        <v>0</v>
      </c>
      <c r="S14" s="10" t="n">
        <v>0</v>
      </c>
      <c r="T14" s="10" t="n">
        <v>285.3665</v>
      </c>
      <c r="U14" s="10" t="n">
        <v>27.1385</v>
      </c>
      <c r="V14" s="11" t="n">
        <f aca="false">SUM(C14:U14)</f>
        <v>598.1795</v>
      </c>
      <c r="W14" s="12" t="n">
        <f aca="false">IFERROR(B14/V14,"-")</f>
        <v>0.927815145788179</v>
      </c>
    </row>
    <row r="15" customFormat="false" ht="15" hidden="false" customHeight="false" outlineLevel="0" collapsed="false">
      <c r="A15" s="8" t="s">
        <v>38</v>
      </c>
      <c r="B15" s="9" t="n">
        <v>567</v>
      </c>
      <c r="C15" s="10" t="n">
        <v>0</v>
      </c>
      <c r="D15" s="10" t="n">
        <v>17.502</v>
      </c>
      <c r="E15" s="10" t="n">
        <v>0.3532</v>
      </c>
      <c r="F15" s="10" t="n">
        <v>0.0589</v>
      </c>
      <c r="G15" s="10" t="n">
        <v>0.0883</v>
      </c>
      <c r="H15" s="10" t="n">
        <v>0.206</v>
      </c>
      <c r="I15" s="10" t="n">
        <v>0.2943</v>
      </c>
      <c r="J15" s="13" t="n">
        <v>120.475</v>
      </c>
      <c r="K15" s="10" t="n">
        <v>0.9713</v>
      </c>
      <c r="L15" s="10" t="n">
        <v>0</v>
      </c>
      <c r="M15" s="10" t="n">
        <v>0.0589</v>
      </c>
      <c r="N15" s="10" t="n">
        <v>50.8038</v>
      </c>
      <c r="O15" s="10" t="n">
        <v>0.4121</v>
      </c>
      <c r="P15" s="10" t="n">
        <v>0</v>
      </c>
      <c r="Q15" s="10" t="n">
        <v>71.4079</v>
      </c>
      <c r="R15" s="10" t="n">
        <v>0</v>
      </c>
      <c r="S15" s="10" t="n">
        <v>226.5566</v>
      </c>
      <c r="T15" s="10" t="n">
        <v>0</v>
      </c>
      <c r="U15" s="10" t="n">
        <v>24.7249</v>
      </c>
      <c r="V15" s="11" t="n">
        <f aca="false">SUM(C15:U15)</f>
        <v>513.9132</v>
      </c>
      <c r="W15" s="12" t="n">
        <f aca="false">IFERROR(B15/V15,"-")</f>
        <v>1.10329915635559</v>
      </c>
    </row>
    <row r="16" customFormat="false" ht="15" hidden="false" customHeight="false" outlineLevel="0" collapsed="false">
      <c r="A16" s="8" t="s">
        <v>39</v>
      </c>
      <c r="B16" s="9" t="n">
        <v>1231</v>
      </c>
      <c r="C16" s="10" t="n">
        <v>0</v>
      </c>
      <c r="D16" s="10" t="n">
        <v>72.3609</v>
      </c>
      <c r="E16" s="10" t="n">
        <v>0.3826</v>
      </c>
      <c r="F16" s="10" t="n">
        <v>0.3826</v>
      </c>
      <c r="G16" s="10" t="n">
        <v>0.0883</v>
      </c>
      <c r="H16" s="10" t="n">
        <v>0.1766</v>
      </c>
      <c r="I16" s="10" t="n">
        <v>0</v>
      </c>
      <c r="J16" s="10" t="n">
        <v>0.0883</v>
      </c>
      <c r="K16" s="13" t="n">
        <v>184.3182</v>
      </c>
      <c r="L16" s="10" t="n">
        <v>9.8605</v>
      </c>
      <c r="M16" s="10" t="n">
        <v>0</v>
      </c>
      <c r="N16" s="10" t="n">
        <v>0.1472</v>
      </c>
      <c r="O16" s="10" t="n">
        <v>81.7982</v>
      </c>
      <c r="P16" s="10" t="n">
        <v>2.7374</v>
      </c>
      <c r="Q16" s="10" t="n">
        <v>0</v>
      </c>
      <c r="R16" s="10" t="n">
        <v>709.2808</v>
      </c>
      <c r="S16" s="10" t="n">
        <v>52.0106</v>
      </c>
      <c r="T16" s="10" t="n">
        <v>0.471</v>
      </c>
      <c r="U16" s="10" t="n">
        <v>40.2663</v>
      </c>
      <c r="V16" s="11" t="n">
        <f aca="false">SUM(C16:U16)</f>
        <v>1154.3695</v>
      </c>
      <c r="W16" s="12" t="n">
        <f aca="false">IFERROR(B16/V16,"-")</f>
        <v>1.0663829908881</v>
      </c>
    </row>
    <row r="17" customFormat="false" ht="15" hidden="false" customHeight="false" outlineLevel="0" collapsed="false">
      <c r="A17" s="8" t="s">
        <v>40</v>
      </c>
      <c r="B17" s="9" t="n">
        <v>1149</v>
      </c>
      <c r="C17" s="10" t="n">
        <v>0</v>
      </c>
      <c r="D17" s="10" t="n">
        <v>66.9668</v>
      </c>
      <c r="E17" s="10" t="n">
        <v>0.3532</v>
      </c>
      <c r="F17" s="10" t="n">
        <v>0.2355</v>
      </c>
      <c r="G17" s="10" t="n">
        <v>0.3238</v>
      </c>
      <c r="H17" s="10" t="n">
        <v>0.0589</v>
      </c>
      <c r="I17" s="10" t="n">
        <v>0.0294</v>
      </c>
      <c r="J17" s="10" t="n">
        <v>0</v>
      </c>
      <c r="K17" s="10" t="n">
        <v>7.0054</v>
      </c>
      <c r="L17" s="13" t="n">
        <v>187.6149</v>
      </c>
      <c r="M17" s="10" t="n">
        <v>0.1177</v>
      </c>
      <c r="N17" s="10" t="n">
        <v>0</v>
      </c>
      <c r="O17" s="10" t="n">
        <v>2.9434</v>
      </c>
      <c r="P17" s="10" t="n">
        <v>80.2087</v>
      </c>
      <c r="Q17" s="10" t="n">
        <v>0</v>
      </c>
      <c r="R17" s="10" t="n">
        <v>678.1687</v>
      </c>
      <c r="S17" s="10" t="n">
        <v>0.6476</v>
      </c>
      <c r="T17" s="10" t="n">
        <v>71.9966</v>
      </c>
      <c r="U17" s="10" t="n">
        <v>43.4746</v>
      </c>
      <c r="V17" s="11" t="n">
        <f aca="false">SUM(C17:U17)</f>
        <v>1140.1452</v>
      </c>
      <c r="W17" s="12" t="n">
        <f aca="false">IFERROR(B17/V17,"-")</f>
        <v>1.00776637922959</v>
      </c>
    </row>
    <row r="18" customFormat="false" ht="15" hidden="false" customHeight="false" outlineLevel="0" collapsed="false">
      <c r="A18" s="8" t="s">
        <v>41</v>
      </c>
      <c r="B18" s="9" t="n">
        <v>252</v>
      </c>
      <c r="C18" s="10" t="n">
        <v>0</v>
      </c>
      <c r="D18" s="10" t="n">
        <v>1.3198</v>
      </c>
      <c r="E18" s="10" t="n">
        <v>0</v>
      </c>
      <c r="F18" s="10" t="n">
        <v>0</v>
      </c>
      <c r="G18" s="10" t="n">
        <v>1.2362</v>
      </c>
      <c r="H18" s="10" t="n">
        <v>0.206</v>
      </c>
      <c r="I18" s="10" t="n">
        <v>3.3261</v>
      </c>
      <c r="J18" s="10" t="n">
        <v>0</v>
      </c>
      <c r="K18" s="10" t="n">
        <v>0</v>
      </c>
      <c r="L18" s="10" t="n">
        <v>0</v>
      </c>
      <c r="M18" s="13" t="n">
        <v>198.2996</v>
      </c>
      <c r="N18" s="10" t="n">
        <v>0</v>
      </c>
      <c r="O18" s="10" t="n">
        <v>0</v>
      </c>
      <c r="P18" s="10" t="n">
        <v>0</v>
      </c>
      <c r="Q18" s="10" t="n">
        <v>1.7661</v>
      </c>
      <c r="R18" s="10" t="n">
        <v>0</v>
      </c>
      <c r="S18" s="10" t="n">
        <v>0</v>
      </c>
      <c r="T18" s="10" t="n">
        <v>1.7661</v>
      </c>
      <c r="U18" s="10" t="n">
        <v>51.3925</v>
      </c>
      <c r="V18" s="11" t="n">
        <f aca="false">SUM(C18:U18)</f>
        <v>259.3124</v>
      </c>
      <c r="W18" s="12" t="n">
        <f aca="false">IFERROR(B18/V18,"-")</f>
        <v>0.971800808599975</v>
      </c>
    </row>
    <row r="19" customFormat="false" ht="15" hidden="false" customHeight="false" outlineLevel="0" collapsed="false">
      <c r="A19" s="8" t="s">
        <v>42</v>
      </c>
      <c r="B19" s="9" t="n">
        <v>252</v>
      </c>
      <c r="C19" s="10" t="n">
        <v>0</v>
      </c>
      <c r="D19" s="10" t="n">
        <v>2.697</v>
      </c>
      <c r="E19" s="10" t="n">
        <v>0.1177</v>
      </c>
      <c r="F19" s="10" t="n">
        <v>0.7947</v>
      </c>
      <c r="G19" s="10" t="n">
        <v>0</v>
      </c>
      <c r="H19" s="10" t="n">
        <v>0.206</v>
      </c>
      <c r="I19" s="10" t="n">
        <v>0</v>
      </c>
      <c r="J19" s="10" t="n">
        <v>3.9736</v>
      </c>
      <c r="K19" s="10" t="n">
        <v>0</v>
      </c>
      <c r="L19" s="10" t="n">
        <v>0</v>
      </c>
      <c r="M19" s="10" t="n">
        <v>0</v>
      </c>
      <c r="N19" s="13" t="n">
        <v>173.4275</v>
      </c>
      <c r="O19" s="10" t="n">
        <v>0</v>
      </c>
      <c r="P19" s="10" t="n">
        <v>0</v>
      </c>
      <c r="Q19" s="10" t="n">
        <v>3.797</v>
      </c>
      <c r="R19" s="10" t="n">
        <v>0</v>
      </c>
      <c r="S19" s="10" t="n">
        <v>1.3245</v>
      </c>
      <c r="T19" s="10" t="n">
        <v>0</v>
      </c>
      <c r="U19" s="10" t="n">
        <v>48.0958</v>
      </c>
      <c r="V19" s="11" t="n">
        <f aca="false">SUM(C19:U19)</f>
        <v>234.4338</v>
      </c>
      <c r="W19" s="12" t="n">
        <f aca="false">IFERROR(B19/V19,"-")</f>
        <v>1.07493032148095</v>
      </c>
    </row>
    <row r="20" customFormat="false" ht="15" hidden="false" customHeight="false" outlineLevel="0" collapsed="false">
      <c r="A20" s="8" t="s">
        <v>43</v>
      </c>
      <c r="B20" s="9" t="n">
        <v>395</v>
      </c>
      <c r="C20" s="10" t="n">
        <v>0</v>
      </c>
      <c r="D20" s="10" t="n">
        <v>0</v>
      </c>
      <c r="E20" s="10" t="n">
        <v>0</v>
      </c>
      <c r="F20" s="10" t="n">
        <v>0</v>
      </c>
      <c r="G20" s="10" t="n">
        <v>1.1185</v>
      </c>
      <c r="H20" s="10" t="n">
        <v>0.1472</v>
      </c>
      <c r="I20" s="10" t="n">
        <v>0</v>
      </c>
      <c r="J20" s="10" t="n">
        <v>0</v>
      </c>
      <c r="K20" s="10" t="n">
        <v>3.6204</v>
      </c>
      <c r="L20" s="10" t="n">
        <v>0.0589</v>
      </c>
      <c r="M20" s="10" t="n">
        <v>0</v>
      </c>
      <c r="N20" s="10" t="n">
        <v>0</v>
      </c>
      <c r="O20" s="13" t="n">
        <v>275.8887</v>
      </c>
      <c r="P20" s="10" t="n">
        <v>0</v>
      </c>
      <c r="Q20" s="10" t="n">
        <v>0</v>
      </c>
      <c r="R20" s="10" t="n">
        <v>3.7382</v>
      </c>
      <c r="S20" s="10" t="n">
        <v>1.5012</v>
      </c>
      <c r="T20" s="10" t="n">
        <v>0</v>
      </c>
      <c r="U20" s="10" t="n">
        <v>73.4094</v>
      </c>
      <c r="V20" s="11" t="n">
        <f aca="false">SUM(C20:U20)</f>
        <v>359.4825</v>
      </c>
      <c r="W20" s="12" t="n">
        <f aca="false">IFERROR(B20/V20,"-")</f>
        <v>1.09880174973747</v>
      </c>
    </row>
    <row r="21" customFormat="false" ht="15" hidden="false" customHeight="false" outlineLevel="0" collapsed="false">
      <c r="A21" s="8" t="s">
        <v>44</v>
      </c>
      <c r="B21" s="9" t="n">
        <v>358</v>
      </c>
      <c r="C21" s="10" t="n">
        <v>0</v>
      </c>
      <c r="D21" s="10" t="n">
        <v>0.1722</v>
      </c>
      <c r="E21" s="10" t="n">
        <v>0</v>
      </c>
      <c r="F21" s="10" t="n">
        <v>1.0008</v>
      </c>
      <c r="G21" s="10" t="n">
        <v>0</v>
      </c>
      <c r="H21" s="10" t="n">
        <v>0.4415</v>
      </c>
      <c r="I21" s="10" t="n">
        <v>0.0294</v>
      </c>
      <c r="J21" s="10" t="n">
        <v>0</v>
      </c>
      <c r="K21" s="10" t="n">
        <v>0.0294</v>
      </c>
      <c r="L21" s="10" t="n">
        <v>6.6522</v>
      </c>
      <c r="M21" s="10" t="n">
        <v>0</v>
      </c>
      <c r="N21" s="10" t="n">
        <v>0</v>
      </c>
      <c r="O21" s="10" t="n">
        <v>0</v>
      </c>
      <c r="P21" s="13" t="n">
        <v>279.5091</v>
      </c>
      <c r="Q21" s="10" t="n">
        <v>0</v>
      </c>
      <c r="R21" s="10" t="n">
        <v>3.9736</v>
      </c>
      <c r="S21" s="10" t="n">
        <v>0.0294</v>
      </c>
      <c r="T21" s="10" t="n">
        <v>4.474</v>
      </c>
      <c r="U21" s="10" t="n">
        <v>77.9717</v>
      </c>
      <c r="V21" s="11" t="n">
        <f aca="false">SUM(C21:U21)</f>
        <v>374.2833</v>
      </c>
      <c r="W21" s="12" t="n">
        <f aca="false">IFERROR(B21/V21,"-")</f>
        <v>0.956494719374335</v>
      </c>
    </row>
    <row r="22" customFormat="false" ht="15" hidden="false" customHeight="false" outlineLevel="0" collapsed="false">
      <c r="A22" s="14" t="s">
        <v>45</v>
      </c>
      <c r="B22" s="9" t="n">
        <v>36928</v>
      </c>
      <c r="C22" s="10" t="n">
        <v>2985.0611</v>
      </c>
      <c r="D22" s="10" t="n">
        <v>414.7698</v>
      </c>
      <c r="E22" s="10" t="n">
        <v>303.1744</v>
      </c>
      <c r="F22" s="10" t="n">
        <v>828.2841</v>
      </c>
      <c r="G22" s="10" t="n">
        <v>818.5413</v>
      </c>
      <c r="H22" s="10" t="n">
        <v>1940.3159</v>
      </c>
      <c r="I22" s="10" t="n">
        <v>588.3349</v>
      </c>
      <c r="J22" s="10" t="n">
        <v>587.5696</v>
      </c>
      <c r="K22" s="10" t="n">
        <v>606.4076</v>
      </c>
      <c r="L22" s="10" t="n">
        <v>604.9947</v>
      </c>
      <c r="M22" s="10" t="n">
        <v>1347.5659</v>
      </c>
      <c r="N22" s="10" t="n">
        <v>1341.2669</v>
      </c>
      <c r="O22" s="10" t="n">
        <v>1441.7854</v>
      </c>
      <c r="P22" s="10" t="n">
        <v>1446.1417</v>
      </c>
      <c r="Q22" s="10" t="n">
        <v>914.6741</v>
      </c>
      <c r="R22" s="10" t="n">
        <v>1030.9694</v>
      </c>
      <c r="S22" s="10" t="n">
        <v>997.9735</v>
      </c>
      <c r="T22" s="10" t="n">
        <v>993.6172</v>
      </c>
      <c r="U22" s="10" t="n">
        <v>16680.1527</v>
      </c>
      <c r="V22" s="11" t="n">
        <f aca="false">SUM(C22:U22)</f>
        <v>35871.6002</v>
      </c>
      <c r="W22" s="12" t="n">
        <f aca="false">IFERROR(B22/V22,"-")</f>
        <v>1.02944947518678</v>
      </c>
    </row>
  </sheetData>
  <mergeCells count="9">
    <mergeCell ref="A1:Z1"/>
    <mergeCell ref="A3:A4"/>
    <mergeCell ref="B3:B4"/>
    <mergeCell ref="C3:D3"/>
    <mergeCell ref="E3:H3"/>
    <mergeCell ref="I3:P3"/>
    <mergeCell ref="Q3:T3"/>
    <mergeCell ref="V3:V4"/>
    <mergeCell ref="W3:W4"/>
  </mergeCells>
  <conditionalFormatting sqref="W5:W22">
    <cfRule type="colorScale" priority="2">
      <colorScale>
        <cfvo type="num" val="0.85"/>
        <cfvo type="num" val="1"/>
        <cfvo type="num" val="1.15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80"/>
  </cols>
  <sheetData>
    <row r="1" customFormat="false" ht="15" hidden="false" customHeight="false" outlineLevel="0" collapsed="false">
      <c r="A1" s="15" t="s">
        <v>46</v>
      </c>
      <c r="B1" s="16"/>
    </row>
    <row r="2" customFormat="false" ht="15" hidden="false" customHeight="false" outlineLevel="0" collapsed="false">
      <c r="A2" s="15" t="s">
        <v>3</v>
      </c>
      <c r="B2" s="16" t="s">
        <v>47</v>
      </c>
    </row>
    <row r="3" customFormat="false" ht="15" hidden="false" customHeight="false" outlineLevel="0" collapsed="false">
      <c r="A3" s="15" t="s">
        <v>4</v>
      </c>
      <c r="B3" s="16" t="s">
        <v>48</v>
      </c>
    </row>
    <row r="4" customFormat="false" ht="15" hidden="false" customHeight="false" outlineLevel="0" collapsed="false">
      <c r="A4" s="15" t="s">
        <v>5</v>
      </c>
      <c r="B4" s="16" t="s">
        <v>49</v>
      </c>
    </row>
    <row r="5" customFormat="false" ht="15" hidden="false" customHeight="false" outlineLevel="0" collapsed="false">
      <c r="A5" s="15" t="s">
        <v>6</v>
      </c>
      <c r="B5" s="16" t="s">
        <v>50</v>
      </c>
    </row>
    <row r="6" customFormat="false" ht="15" hidden="false" customHeight="false" outlineLevel="0" collapsed="false">
      <c r="A6" s="15" t="s">
        <v>7</v>
      </c>
      <c r="B6" s="16" t="s">
        <v>51</v>
      </c>
    </row>
    <row r="7" customFormat="false" ht="15" hidden="false" customHeight="false" outlineLevel="0" collapsed="false">
      <c r="A7" s="15"/>
      <c r="B7" s="16"/>
    </row>
    <row r="8" customFormat="false" ht="15" hidden="false" customHeight="false" outlineLevel="0" collapsed="false">
      <c r="A8" s="15" t="s">
        <v>52</v>
      </c>
      <c r="B8" s="16"/>
    </row>
    <row r="9" customFormat="false" ht="15" hidden="false" customHeight="false" outlineLevel="0" collapsed="false">
      <c r="A9" s="15" t="s">
        <v>53</v>
      </c>
      <c r="B9" s="16" t="s">
        <v>54</v>
      </c>
    </row>
    <row r="10" customFormat="false" ht="15" hidden="false" customHeight="false" outlineLevel="0" collapsed="false">
      <c r="A10" s="15" t="s">
        <v>55</v>
      </c>
      <c r="B10" s="16" t="s">
        <v>56</v>
      </c>
    </row>
    <row r="11" customFormat="false" ht="15" hidden="false" customHeight="false" outlineLevel="0" collapsed="false">
      <c r="A11" s="15"/>
      <c r="B11" s="16"/>
    </row>
    <row r="12" customFormat="false" ht="15" hidden="false" customHeight="false" outlineLevel="0" collapsed="false">
      <c r="A12" s="15" t="s">
        <v>57</v>
      </c>
      <c r="B12" s="16"/>
    </row>
    <row r="13" customFormat="false" ht="15" hidden="false" customHeight="false" outlineLevel="0" collapsed="false">
      <c r="A13" s="15" t="s">
        <v>8</v>
      </c>
      <c r="B13" s="16" t="s">
        <v>58</v>
      </c>
    </row>
    <row r="14" customFormat="false" ht="15" hidden="false" customHeight="false" outlineLevel="0" collapsed="false">
      <c r="A14" s="15" t="s">
        <v>9</v>
      </c>
      <c r="B14" s="16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2026-05-05T11:15:25Z</dcterms:created>
  <dc:creator>openpyxl</dc:creator>
  <dc:description/>
  <dc:language>en-US</dc:language>
  <cp:lastModifiedBy/>
  <dcterms:modified xsi:type="dcterms:W3CDTF">2026-05-05T11:15:25Z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